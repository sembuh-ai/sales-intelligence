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osa Health Insurance" sheetId="1" r:id="rId4"/>
    <sheet state="visible" name="Margin Summary" sheetId="2" r:id="rId5"/>
    <sheet state="visible" name="Deal Summary" sheetId="3" r:id="rId6"/>
    <sheet state="visible" name="Client Detail" sheetId="4" r:id="rId7"/>
  </sheets>
  <definedNames/>
  <calcPr/>
  <extLst>
    <ext uri="GoogleSheetsCustomDataVersion2">
      <go:sheetsCustomData xmlns:go="http://customooxmlschemas.google.com/" r:id="rId8" roundtripDataChecksum="4MNNk8Xg5mSwOengPfbKDXLWrkf1U6PPrbhIAJ9xGTA="/>
    </ext>
  </extLst>
</workbook>
</file>

<file path=xl/sharedStrings.xml><?xml version="1.0" encoding="utf-8"?>
<sst xmlns="http://schemas.openxmlformats.org/spreadsheetml/2006/main" count="191" uniqueCount="92">
  <si>
    <t>Per Client Gross Profit</t>
  </si>
  <si>
    <t xml:space="preserve">Date 25 April </t>
  </si>
  <si>
    <t>Client</t>
  </si>
  <si>
    <t>Status</t>
  </si>
  <si>
    <t>Total Revenue ($)</t>
  </si>
  <si>
    <t>Blended Margin %</t>
  </si>
  <si>
    <t>Cost of Revenue ($)</t>
  </si>
  <si>
    <t>Gross Profit ($)</t>
  </si>
  <si>
    <t>Masking Name</t>
  </si>
  <si>
    <t>Sentosa Health Insurance</t>
  </si>
  <si>
    <t>Waiting Confirmation</t>
  </si>
  <si>
    <t xml:space="preserve">ABC </t>
  </si>
  <si>
    <t xml:space="preserve">Date 27 April </t>
  </si>
  <si>
    <t>Sembuh AI — Gross Profit &amp; Margin Summary</t>
  </si>
  <si>
    <t>Margin assumptions: Claim Workflow 60% | Fraud Detection 65% | Implementation 50%</t>
  </si>
  <si>
    <t>Product / Service</t>
  </si>
  <si>
    <t>Type</t>
  </si>
  <si>
    <t>Unit Price ($)</t>
  </si>
  <si>
    <t>Margin %</t>
  </si>
  <si>
    <t>Cost per Unit ($)</t>
  </si>
  <si>
    <t>Gross Profit per Unit ($)</t>
  </si>
  <si>
    <t>Notes</t>
  </si>
  <si>
    <t>Claim Workflow</t>
  </si>
  <si>
    <t>Recurring</t>
  </si>
  <si>
    <t>AI-enabled claim automation — low infra cost per claim</t>
  </si>
  <si>
    <t>Fraud Detection</t>
  </si>
  <si>
    <t>ML inference cost is low relative to price point</t>
  </si>
  <si>
    <t>Implementation</t>
  </si>
  <si>
    <t>One Time Fee</t>
  </si>
  <si>
    <t>Engineering + integration effort — 50% margin floor</t>
  </si>
  <si>
    <t>GP as % of Pipeline</t>
  </si>
  <si>
    <t>Nusantara Life</t>
  </si>
  <si>
    <t>Solutioning</t>
  </si>
  <si>
    <t xml:space="preserve">Pruwarna </t>
  </si>
  <si>
    <t>Mega Proteksi Life</t>
  </si>
  <si>
    <t>Piloting</t>
  </si>
  <si>
    <t xml:space="preserve">Astro </t>
  </si>
  <si>
    <t>Buana Sejahtera Insurance</t>
  </si>
  <si>
    <t>First Meeting Done</t>
  </si>
  <si>
    <t xml:space="preserve">BRB </t>
  </si>
  <si>
    <t>Garuda Insurance</t>
  </si>
  <si>
    <t>Won</t>
  </si>
  <si>
    <t xml:space="preserve">Liase </t>
  </si>
  <si>
    <t>TOTAL</t>
  </si>
  <si>
    <t>Total Pipeline Revenue</t>
  </si>
  <si>
    <t>Total Cost of Revenue</t>
  </si>
  <si>
    <t>Total Gross Profit</t>
  </si>
  <si>
    <t>Highest GP Deal</t>
  </si>
  <si>
    <t>Blue = hardcoded inputs   |   Black = calculated formulas   |   Margin assumptions are editable — change D column values to update all GP calculations</t>
  </si>
  <si>
    <t>Sembuh AI — Potential Client Pipeline</t>
  </si>
  <si>
    <t>Products &amp; Services Proposal Summary  |  Annual Basis  |  IDR pricing converted to USD at 16,000</t>
  </si>
  <si>
    <t>Products Purchased</t>
  </si>
  <si>
    <t>Monthly Claim Vol</t>
  </si>
  <si>
    <t>Annual Claim Vol</t>
  </si>
  <si>
    <t>Claim Workflow
($/claim)</t>
  </si>
  <si>
    <t>Fraud Detection
($/claim)</t>
  </si>
  <si>
    <t>Claim Workflow
Revenue ($)</t>
  </si>
  <si>
    <t>Fraud Detection
Revenue ($)</t>
  </si>
  <si>
    <t>Implementation
Fee ($)</t>
  </si>
  <si>
    <t>Total Annual
Revenue ($)</t>
  </si>
  <si>
    <t>Ticket Size
Check</t>
  </si>
  <si>
    <t>Blended
Margin %</t>
  </si>
  <si>
    <t>Cost of
Revenue ($)</t>
  </si>
  <si>
    <t>Gross
Profit ($)</t>
  </si>
  <si>
    <t>Claim Workflow + Fraud Detection + Implementation</t>
  </si>
  <si>
    <t>Full suite. Largest deal. High claim vol enterprise client.</t>
  </si>
  <si>
    <t>STP focus. Decision expected end of April. Close date passed.</t>
  </si>
  <si>
    <t>Claim Workflow + Implementation</t>
  </si>
  <si>
    <t>-</t>
  </si>
  <si>
    <t>OCR pilot only. FWA upsell opportunity post-pilot.</t>
  </si>
  <si>
    <t>Fraud Detection + Implementation</t>
  </si>
  <si>
    <t>FWA module lead. Workflow can be added in Phase 2.</t>
  </si>
  <si>
    <t>Lost</t>
  </si>
  <si>
    <t>OCR only evaluation. Deal lost — no implementation fee.</t>
  </si>
  <si>
    <t>TOTAL PIPELINE</t>
  </si>
  <si>
    <t>Color coding:</t>
  </si>
  <si>
    <t>Blue = hardcoded inputs</t>
  </si>
  <si>
    <t>Black = calculated formulas</t>
  </si>
  <si>
    <t>Prices: Claim Workflow $1/claim base | Fraud Detection $2/claim base | Implementation one-time</t>
  </si>
  <si>
    <t>Margin % = blended input per deal (50–70% range)   |   Gross Profit = Revenue × Margin %   |   Cost of Revenue = Revenue × (1 - Margin %)</t>
  </si>
  <si>
    <t>Sembuh AI — Per Client Product &amp; Pricing Detail</t>
  </si>
  <si>
    <t>Annual revenue breakdown per client  |  Prices in USD  |  Volume = annual claims</t>
  </si>
  <si>
    <t>Annual Volume</t>
  </si>
  <si>
    <t>UoM</t>
  </si>
  <si>
    <t>Annual Revenue ($)</t>
  </si>
  <si>
    <t>Cost ($)</t>
  </si>
  <si>
    <t>Per Claim</t>
  </si>
  <si>
    <t>AI-enabled end-to-end claim workflow</t>
  </si>
  <si>
    <t>FWA detection — fraud, waste &amp; abuse</t>
  </si>
  <si>
    <t>Per Implementation</t>
  </si>
  <si>
    <t>Integration into insurance core system</t>
  </si>
  <si>
    <t>Blue = hardcoded inputs   |   Black = calculated formulas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</si>
</sst>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"/>
    <numFmt numFmtId="165" formatCode="0.0%"/>
    <numFmt numFmtId="166" formatCode="\$#,##0.00"/>
  </numFmts>
  <fonts count="30">
    <font>
      <sz val="11.0"/>
      <color theme="1"/>
      <name val="Calibri"/>
      <scheme val="minor"/>
    </font>
    <font>
      <b/>
      <sz val="11.0"/>
      <color rgb="FFFFFFFF"/>
      <name val="Arial"/>
    </font>
    <font/>
    <font>
      <color theme="1"/>
      <name val="Calibri"/>
      <scheme val="minor"/>
    </font>
    <font>
      <b/>
      <sz val="9.0"/>
      <color rgb="FFFFFFFF"/>
      <name val="Arial"/>
    </font>
    <font>
      <b/>
      <color theme="1"/>
      <name val="Calibri"/>
      <scheme val="minor"/>
    </font>
    <font>
      <b/>
      <sz val="10.0"/>
      <color rgb="FF000000"/>
      <name val="Arial"/>
    </font>
    <font>
      <b/>
      <sz val="9.0"/>
      <color rgb="FF633806"/>
      <name val="Arial"/>
    </font>
    <font>
      <sz val="10.0"/>
      <color rgb="FF0000FF"/>
      <name val="Arial"/>
    </font>
    <font>
      <sz val="10.0"/>
      <color rgb="FF000000"/>
      <name val="Arial"/>
    </font>
    <font>
      <b/>
      <sz val="10.0"/>
      <color rgb="FF1D7A4E"/>
      <name val="Arial"/>
    </font>
    <font>
      <b/>
      <sz val="13.0"/>
      <color rgb="FFFFFFFF"/>
      <name val="Arial"/>
    </font>
    <font>
      <i/>
      <sz val="9.0"/>
      <color rgb="FFAAAAAA"/>
      <name val="Arial"/>
    </font>
    <font>
      <b/>
      <sz val="9.0"/>
      <color rgb="FF085041"/>
      <name val="Arial"/>
    </font>
    <font>
      <sz val="9.0"/>
      <color rgb="FF666666"/>
      <name val="Arial"/>
    </font>
    <font>
      <b/>
      <sz val="9.0"/>
      <color rgb="FF3C3489"/>
      <name val="Arial"/>
    </font>
    <font>
      <sz val="9.0"/>
      <color rgb="FF000000"/>
      <name val="Arial"/>
    </font>
    <font>
      <b/>
      <sz val="9.0"/>
      <color rgb="FF185FA5"/>
      <name val="Arial"/>
    </font>
    <font>
      <b/>
      <sz val="10.0"/>
      <color rgb="FF1E1E2E"/>
      <name val="Arial"/>
    </font>
    <font>
      <sz val="11.0"/>
      <color theme="1"/>
      <name val="Calibri"/>
    </font>
    <font>
      <b/>
      <sz val="10.0"/>
      <color rgb="FF3C3489"/>
      <name val="Arial"/>
    </font>
    <font>
      <b/>
      <sz val="8.0"/>
      <color rgb="FFAAAAAA"/>
      <name val="Arial"/>
    </font>
    <font>
      <sz val="8.0"/>
      <color rgb="FF888888"/>
      <name val="Arial"/>
    </font>
    <font>
      <b/>
      <sz val="14.0"/>
      <color rgb="FFFFFFFF"/>
      <name val="Arial"/>
    </font>
    <font>
      <sz val="10.0"/>
      <color rgb="FFAAAAAA"/>
      <name val="Arial"/>
    </font>
    <font>
      <b/>
      <sz val="9.0"/>
      <color rgb="FFA32D2D"/>
      <name val="Arial"/>
    </font>
    <font>
      <b/>
      <sz val="8.0"/>
      <color rgb="FF888888"/>
      <name val="Arial"/>
    </font>
    <font>
      <sz val="8.0"/>
      <color rgb="FF0000FF"/>
      <name val="Arial"/>
    </font>
    <font>
      <sz val="8.0"/>
      <color rgb="FF000000"/>
      <name val="Arial"/>
    </font>
    <font>
      <sz val="9.0"/>
      <color rgb="FF888888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5C5CDB"/>
        <bgColor rgb="FF5C5CDB"/>
      </patternFill>
    </fill>
    <fill>
      <patternFill patternType="solid">
        <fgColor rgb="FF1D4E2A"/>
        <bgColor rgb="FF1D4E2A"/>
      </patternFill>
    </fill>
    <fill>
      <patternFill patternType="solid">
        <fgColor rgb="FF3C3489"/>
        <bgColor rgb="FF3C3489"/>
      </patternFill>
    </fill>
    <fill>
      <patternFill patternType="solid">
        <fgColor rgb="FFFFFFFF"/>
        <bgColor rgb="FFFFFFFF"/>
      </patternFill>
    </fill>
    <fill>
      <patternFill patternType="solid">
        <fgColor rgb="FFFAEEDA"/>
        <bgColor rgb="FFFAEEDA"/>
      </patternFill>
    </fill>
    <fill>
      <patternFill patternType="solid">
        <fgColor rgb="FFEAF3DE"/>
        <bgColor rgb="FFEAF3DE"/>
      </patternFill>
    </fill>
    <fill>
      <patternFill patternType="solid">
        <fgColor rgb="FFEEEDFE"/>
        <bgColor rgb="FFEEEDFE"/>
      </patternFill>
    </fill>
    <fill>
      <patternFill patternType="solid">
        <fgColor rgb="FF1E1E2E"/>
        <bgColor rgb="FF1E1E2E"/>
      </patternFill>
    </fill>
    <fill>
      <patternFill patternType="solid">
        <fgColor rgb="FFF4F4FB"/>
        <bgColor rgb="FFF4F4FB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EEEEFA"/>
        <bgColor rgb="FFEEEEFA"/>
      </patternFill>
    </fill>
    <fill>
      <patternFill patternType="solid">
        <fgColor rgb="FF5F5E5A"/>
        <bgColor rgb="FF5F5E5A"/>
      </patternFill>
    </fill>
    <fill>
      <patternFill patternType="solid">
        <fgColor rgb="FFFCEBEB"/>
        <bgColor rgb="FFFCEBE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/>
    </xf>
    <xf borderId="4" fillId="5" fontId="6" numFmtId="0" xfId="0" applyAlignment="1" applyBorder="1" applyFill="1" applyFont="1">
      <alignment horizontal="left" readingOrder="0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5" fontId="8" numFmtId="164" xfId="0" applyAlignment="1" applyBorder="1" applyFont="1" applyNumberFormat="1">
      <alignment horizontal="right" vertical="center"/>
    </xf>
    <xf borderId="4" fillId="7" fontId="8" numFmtId="165" xfId="0" applyAlignment="1" applyBorder="1" applyFill="1" applyFont="1" applyNumberFormat="1">
      <alignment horizontal="center" shrinkToFit="0" vertical="center" wrapText="1"/>
    </xf>
    <xf borderId="4" fillId="7" fontId="9" numFmtId="164" xfId="0" applyAlignment="1" applyBorder="1" applyFont="1" applyNumberFormat="1">
      <alignment horizontal="right" vertical="center"/>
    </xf>
    <xf borderId="4" fillId="8" fontId="10" numFmtId="164" xfId="0" applyAlignment="1" applyBorder="1" applyFill="1" applyFont="1" applyNumberFormat="1">
      <alignment horizontal="right" vertical="center"/>
    </xf>
    <xf borderId="1" fillId="2" fontId="11" numFmtId="0" xfId="0" applyAlignment="1" applyBorder="1" applyFont="1">
      <alignment horizontal="center" shrinkToFit="0" vertical="center" wrapText="1"/>
    </xf>
    <xf borderId="1" fillId="9" fontId="12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4" fillId="10" fontId="6" numFmtId="0" xfId="0" applyAlignment="1" applyBorder="1" applyFill="1" applyFont="1">
      <alignment horizontal="left" shrinkToFit="0" vertical="center" wrapText="1"/>
    </xf>
    <xf borderId="4" fillId="11" fontId="13" numFmtId="0" xfId="0" applyAlignment="1" applyBorder="1" applyFill="1" applyFont="1">
      <alignment horizontal="center" shrinkToFit="0" vertical="center" wrapText="1"/>
    </xf>
    <xf borderId="4" fillId="10" fontId="8" numFmtId="166" xfId="0" applyAlignment="1" applyBorder="1" applyFont="1" applyNumberFormat="1">
      <alignment horizontal="right" vertical="center"/>
    </xf>
    <xf borderId="4" fillId="10" fontId="8" numFmtId="165" xfId="0" applyAlignment="1" applyBorder="1" applyFont="1" applyNumberFormat="1">
      <alignment horizontal="center" shrinkToFit="0" vertical="center" wrapText="1"/>
    </xf>
    <xf borderId="4" fillId="7" fontId="9" numFmtId="166" xfId="0" applyAlignment="1" applyBorder="1" applyFont="1" applyNumberFormat="1">
      <alignment horizontal="right" vertical="center"/>
    </xf>
    <xf borderId="4" fillId="8" fontId="10" numFmtId="166" xfId="0" applyAlignment="1" applyBorder="1" applyFont="1" applyNumberFormat="1">
      <alignment horizontal="right" vertical="center"/>
    </xf>
    <xf borderId="4" fillId="10" fontId="14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8" numFmtId="166" xfId="0" applyAlignment="1" applyBorder="1" applyFont="1" applyNumberFormat="1">
      <alignment horizontal="right" vertical="center"/>
    </xf>
    <xf borderId="4" fillId="5" fontId="8" numFmtId="165" xfId="0" applyAlignment="1" applyBorder="1" applyFont="1" applyNumberFormat="1">
      <alignment horizontal="center" shrinkToFit="0" vertical="center" wrapText="1"/>
    </xf>
    <xf borderId="4" fillId="5" fontId="14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4" fillId="10" fontId="8" numFmtId="164" xfId="0" applyAlignment="1" applyBorder="1" applyFont="1" applyNumberFormat="1">
      <alignment horizontal="right" vertical="center"/>
    </xf>
    <xf borderId="4" fillId="10" fontId="6" numFmtId="0" xfId="0" applyAlignment="1" applyBorder="1" applyFont="1">
      <alignment horizontal="left" readingOrder="0" shrinkToFit="0" vertical="center" wrapText="1"/>
    </xf>
    <xf borderId="4" fillId="8" fontId="16" numFmtId="165" xfId="0" applyAlignment="1" applyBorder="1" applyFont="1" applyNumberFormat="1">
      <alignment horizontal="center" shrinkToFit="0" vertical="center" wrapText="1"/>
    </xf>
    <xf borderId="4" fillId="12" fontId="17" numFmtId="0" xfId="0" applyAlignment="1" applyBorder="1" applyFill="1" applyFont="1">
      <alignment horizontal="center" shrinkToFit="0" vertical="center" wrapText="1"/>
    </xf>
    <xf borderId="4" fillId="11" fontId="13" numFmtId="0" xfId="0" applyAlignment="1" applyBorder="1" applyFont="1">
      <alignment horizontal="center" readingOrder="0" shrinkToFit="0" vertical="center" wrapText="1"/>
    </xf>
    <xf borderId="4" fillId="13" fontId="18" numFmtId="0" xfId="0" applyAlignment="1" applyBorder="1" applyFill="1" applyFont="1">
      <alignment horizontal="left" shrinkToFit="0" vertical="center" wrapText="1"/>
    </xf>
    <xf borderId="4" fillId="13" fontId="19" numFmtId="0" xfId="0" applyBorder="1" applyFont="1"/>
    <xf borderId="4" fillId="13" fontId="18" numFmtId="164" xfId="0" applyAlignment="1" applyBorder="1" applyFont="1" applyNumberFormat="1">
      <alignment horizontal="right" vertical="center"/>
    </xf>
    <xf borderId="4" fillId="13" fontId="18" numFmtId="165" xfId="0" applyAlignment="1" applyBorder="1" applyFont="1" applyNumberFormat="1">
      <alignment horizontal="center" shrinkToFit="0" vertical="center" wrapText="1"/>
    </xf>
    <xf borderId="4" fillId="8" fontId="20" numFmtId="164" xfId="0" applyAlignment="1" applyBorder="1" applyFont="1" applyNumberFormat="1">
      <alignment horizontal="right" vertical="center"/>
    </xf>
    <xf borderId="4" fillId="8" fontId="20" numFmtId="165" xfId="0" applyAlignment="1" applyBorder="1" applyFont="1" applyNumberFormat="1">
      <alignment horizontal="right" vertical="center"/>
    </xf>
    <xf borderId="4" fillId="9" fontId="21" numFmtId="0" xfId="0" applyAlignment="1" applyBorder="1" applyFont="1">
      <alignment horizontal="center" shrinkToFit="0" vertical="center" wrapText="1"/>
    </xf>
    <xf borderId="4" fillId="14" fontId="21" numFmtId="0" xfId="0" applyAlignment="1" applyBorder="1" applyFill="1" applyFont="1">
      <alignment horizontal="center" shrinkToFit="0" vertical="center" wrapText="1"/>
    </xf>
    <xf borderId="4" fillId="3" fontId="21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center" shrinkToFit="0" vertical="center" wrapText="1"/>
    </xf>
    <xf borderId="4" fillId="9" fontId="11" numFmtId="164" xfId="0" applyAlignment="1" applyBorder="1" applyFont="1" applyNumberFormat="1">
      <alignment horizontal="center" shrinkToFit="0" vertical="center" wrapText="1"/>
    </xf>
    <xf borderId="4" fillId="14" fontId="11" numFmtId="164" xfId="0" applyAlignment="1" applyBorder="1" applyFont="1" applyNumberFormat="1">
      <alignment horizontal="center" shrinkToFit="0" vertical="center" wrapText="1"/>
    </xf>
    <xf borderId="4" fillId="3" fontId="11" numFmtId="164" xfId="0" applyAlignment="1" applyBorder="1" applyFont="1" applyNumberFormat="1">
      <alignment horizontal="center" shrinkToFit="0" vertical="center" wrapText="1"/>
    </xf>
    <xf borderId="4" fillId="4" fontId="11" numFmtId="165" xfId="0" applyAlignment="1" applyBorder="1" applyFont="1" applyNumberFormat="1">
      <alignment horizontal="center" shrinkToFit="0" vertical="center" wrapText="1"/>
    </xf>
    <xf borderId="4" fillId="4" fontId="11" numFmtId="49" xfId="0" applyAlignment="1" applyBorder="1" applyFont="1" applyNumberFormat="1">
      <alignment horizontal="center" readingOrder="0" shrinkToFit="0" vertical="center" wrapText="1"/>
    </xf>
    <xf borderId="0" fillId="0" fontId="22" numFmtId="0" xfId="0" applyFont="1"/>
    <xf borderId="1" fillId="2" fontId="23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horizontal="left" shrinkToFit="0" vertical="center" wrapText="1"/>
    </xf>
    <xf borderId="4" fillId="10" fontId="8" numFmtId="3" xfId="0" applyAlignment="1" applyBorder="1" applyFont="1" applyNumberFormat="1">
      <alignment horizontal="center" shrinkToFit="0" vertical="center" wrapText="1"/>
    </xf>
    <xf borderId="4" fillId="10" fontId="9" numFmtId="3" xfId="0" applyAlignment="1" applyBorder="1" applyFont="1" applyNumberFormat="1">
      <alignment horizontal="center" shrinkToFit="0" vertical="center" wrapText="1"/>
    </xf>
    <xf borderId="4" fillId="10" fontId="8" numFmtId="166" xfId="0" applyAlignment="1" applyBorder="1" applyFont="1" applyNumberFormat="1">
      <alignment horizontal="center" shrinkToFit="0" vertical="center" wrapText="1"/>
    </xf>
    <xf borderId="4" fillId="5" fontId="8" numFmtId="166" xfId="0" applyAlignment="1" applyBorder="1" applyFont="1" applyNumberFormat="1">
      <alignment horizontal="center" shrinkToFit="0" vertical="center" wrapText="1"/>
    </xf>
    <xf borderId="4" fillId="10" fontId="9" numFmtId="164" xfId="0" applyAlignment="1" applyBorder="1" applyFont="1" applyNumberFormat="1">
      <alignment horizontal="right" vertical="center"/>
    </xf>
    <xf borderId="4" fillId="10" fontId="6" numFmtId="164" xfId="0" applyAlignment="1" applyBorder="1" applyFont="1" applyNumberFormat="1">
      <alignment horizontal="right" vertical="center"/>
    </xf>
    <xf borderId="4" fillId="10" fontId="16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left" shrinkToFit="0" vertical="center" wrapText="1"/>
    </xf>
    <xf borderId="4" fillId="5" fontId="8" numFmtId="3" xfId="0" applyAlignment="1" applyBorder="1" applyFont="1" applyNumberFormat="1">
      <alignment horizontal="center" shrinkToFit="0" vertical="center" wrapText="1"/>
    </xf>
    <xf borderId="4" fillId="5" fontId="9" numFmtId="3" xfId="0" applyAlignment="1" applyBorder="1" applyFont="1" applyNumberFormat="1">
      <alignment horizontal="center" shrinkToFit="0" vertical="center" wrapText="1"/>
    </xf>
    <xf borderId="4" fillId="5" fontId="9" numFmtId="164" xfId="0" applyAlignment="1" applyBorder="1" applyFont="1" applyNumberFormat="1">
      <alignment horizontal="right" vertical="center"/>
    </xf>
    <xf borderId="4" fillId="5" fontId="6" numFmtId="164" xfId="0" applyAlignment="1" applyBorder="1" applyFont="1" applyNumberFormat="1">
      <alignment horizontal="right" vertical="center"/>
    </xf>
    <xf borderId="4" fillId="5" fontId="16" numFmtId="0" xfId="0" applyAlignment="1" applyBorder="1" applyFont="1">
      <alignment horizontal="center" shrinkToFit="0" vertical="center" wrapText="1"/>
    </xf>
    <xf borderId="4" fillId="10" fontId="24" numFmtId="0" xfId="0" applyAlignment="1" applyBorder="1" applyFont="1">
      <alignment horizontal="center" shrinkToFit="0" vertical="center" wrapText="1"/>
    </xf>
    <xf borderId="4" fillId="5" fontId="24" numFmtId="0" xfId="0" applyAlignment="1" applyBorder="1" applyFont="1">
      <alignment horizontal="center" shrinkToFit="0" vertical="center" wrapText="1"/>
    </xf>
    <xf borderId="4" fillId="15" fontId="25" numFmtId="0" xfId="0" applyAlignment="1" applyBorder="1" applyFill="1" applyFont="1">
      <alignment horizontal="center" shrinkToFit="0" vertical="center" wrapText="1"/>
    </xf>
    <xf borderId="4" fillId="10" fontId="24" numFmtId="0" xfId="0" applyAlignment="1" applyBorder="1" applyFont="1">
      <alignment horizontal="right" vertical="center"/>
    </xf>
    <xf borderId="5" fillId="13" fontId="18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13" fontId="18" numFmtId="3" xfId="0" applyAlignment="1" applyBorder="1" applyFont="1" applyNumberFormat="1">
      <alignment horizontal="center" shrinkToFit="0" vertical="center" wrapText="1"/>
    </xf>
    <xf borderId="0" fillId="0" fontId="26" numFmtId="0" xfId="0" applyFont="1"/>
    <xf borderId="0" fillId="0" fontId="27" numFmtId="0" xfId="0" applyFont="1"/>
    <xf borderId="0" fillId="0" fontId="28" numFmtId="0" xfId="0" applyFont="1"/>
    <xf borderId="4" fillId="10" fontId="9" numFmtId="0" xfId="0" applyAlignment="1" applyBorder="1" applyFont="1">
      <alignment horizontal="left" shrinkToFit="0" vertical="center" wrapText="1"/>
    </xf>
    <xf borderId="4" fillId="10" fontId="2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2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3"/>
      <c r="H1" s="4" t="s">
        <v>1</v>
      </c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7" t="s">
        <v>8</v>
      </c>
    </row>
    <row r="3">
      <c r="A3" s="8" t="s">
        <v>9</v>
      </c>
      <c r="B3" s="9" t="s">
        <v>10</v>
      </c>
      <c r="C3" s="10">
        <v>320520.0</v>
      </c>
      <c r="D3" s="11">
        <v>0.61</v>
      </c>
      <c r="E3" s="12">
        <f>C3*(1-D3)</f>
        <v>125002.8</v>
      </c>
      <c r="F3" s="13">
        <f>C3*D3</f>
        <v>195517.2</v>
      </c>
      <c r="G3" s="4" t="s">
        <v>11</v>
      </c>
    </row>
    <row r="8">
      <c r="A8" s="1" t="s">
        <v>0</v>
      </c>
      <c r="B8" s="2"/>
      <c r="C8" s="2"/>
      <c r="D8" s="2"/>
      <c r="E8" s="2"/>
      <c r="F8" s="3"/>
      <c r="H8" s="4" t="s">
        <v>12</v>
      </c>
    </row>
    <row r="9">
      <c r="A9" s="5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6" t="s">
        <v>7</v>
      </c>
      <c r="G9" s="7" t="s">
        <v>8</v>
      </c>
    </row>
    <row r="10">
      <c r="A10" s="8" t="s">
        <v>9</v>
      </c>
      <c r="B10" s="9" t="s">
        <v>10</v>
      </c>
      <c r="C10" s="10">
        <v>320520.0</v>
      </c>
      <c r="D10" s="11">
        <v>0.61</v>
      </c>
      <c r="E10" s="12">
        <f>C10*(1-D10)</f>
        <v>125002.8</v>
      </c>
      <c r="F10" s="13">
        <f>C10*D10</f>
        <v>195517.2</v>
      </c>
      <c r="G10" s="4" t="s">
        <v>11</v>
      </c>
    </row>
  </sheetData>
  <mergeCells count="2">
    <mergeCell ref="A1:F1"/>
    <mergeCell ref="A8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3" width="16.0"/>
    <col customWidth="1" min="4" max="4" width="12.0"/>
    <col customWidth="1" min="5" max="5" width="17.29"/>
    <col customWidth="1" min="6" max="6" width="22.0"/>
    <col customWidth="1" min="7" max="7" width="36.0"/>
    <col customWidth="1" min="8" max="8" width="14.14"/>
    <col customWidth="1" min="9" max="26" width="8.71"/>
  </cols>
  <sheetData>
    <row r="1" ht="30.0" customHeight="1">
      <c r="A1" s="14" t="s">
        <v>13</v>
      </c>
      <c r="B1" s="2"/>
      <c r="C1" s="2"/>
      <c r="D1" s="2"/>
      <c r="E1" s="2"/>
      <c r="F1" s="2"/>
      <c r="G1" s="3"/>
    </row>
    <row r="2" ht="15.75" customHeight="1">
      <c r="A2" s="15" t="s">
        <v>14</v>
      </c>
      <c r="B2" s="2"/>
      <c r="C2" s="2"/>
      <c r="D2" s="2"/>
      <c r="E2" s="2"/>
      <c r="F2" s="2"/>
      <c r="G2" s="3"/>
    </row>
    <row r="3" ht="6.0" customHeight="1"/>
    <row r="4" ht="27.75" customHeight="1">
      <c r="A4" s="16" t="s">
        <v>15</v>
      </c>
      <c r="B4" s="16" t="s">
        <v>16</v>
      </c>
      <c r="C4" s="16" t="s">
        <v>17</v>
      </c>
      <c r="D4" s="16" t="s">
        <v>18</v>
      </c>
      <c r="E4" s="16" t="s">
        <v>19</v>
      </c>
      <c r="F4" s="16" t="s">
        <v>20</v>
      </c>
      <c r="G4" s="16" t="s">
        <v>21</v>
      </c>
    </row>
    <row r="5" ht="21.75" customHeight="1">
      <c r="A5" s="17" t="s">
        <v>22</v>
      </c>
      <c r="B5" s="18" t="s">
        <v>23</v>
      </c>
      <c r="C5" s="19">
        <v>1.0</v>
      </c>
      <c r="D5" s="20">
        <v>0.6</v>
      </c>
      <c r="E5" s="21">
        <f t="shared" ref="E5:E7" si="1">C5*(1-D5)</f>
        <v>0.4</v>
      </c>
      <c r="F5" s="22">
        <f t="shared" ref="F5:F7" si="2">C5*D5</f>
        <v>0.6</v>
      </c>
      <c r="G5" s="23" t="s">
        <v>24</v>
      </c>
    </row>
    <row r="6" ht="21.75" customHeight="1">
      <c r="A6" s="24" t="s">
        <v>25</v>
      </c>
      <c r="B6" s="18" t="s">
        <v>23</v>
      </c>
      <c r="C6" s="25">
        <v>2.0</v>
      </c>
      <c r="D6" s="26">
        <v>0.65</v>
      </c>
      <c r="E6" s="21">
        <f t="shared" si="1"/>
        <v>0.7</v>
      </c>
      <c r="F6" s="22">
        <f t="shared" si="2"/>
        <v>1.3</v>
      </c>
      <c r="G6" s="27" t="s">
        <v>26</v>
      </c>
    </row>
    <row r="7" ht="21.75" customHeight="1">
      <c r="A7" s="17" t="s">
        <v>27</v>
      </c>
      <c r="B7" s="28" t="s">
        <v>28</v>
      </c>
      <c r="C7" s="29">
        <v>50000.0</v>
      </c>
      <c r="D7" s="20">
        <v>0.5</v>
      </c>
      <c r="E7" s="12">
        <f t="shared" si="1"/>
        <v>25000</v>
      </c>
      <c r="F7" s="13">
        <f t="shared" si="2"/>
        <v>25000</v>
      </c>
      <c r="G7" s="23" t="s">
        <v>29</v>
      </c>
    </row>
    <row r="8" ht="14.25" customHeight="1"/>
    <row r="9" ht="7.5" customHeight="1"/>
    <row r="10" ht="24.0" customHeight="1">
      <c r="A10" s="1" t="s">
        <v>0</v>
      </c>
      <c r="B10" s="2"/>
      <c r="C10" s="2"/>
      <c r="D10" s="2"/>
      <c r="E10" s="2"/>
      <c r="F10" s="2"/>
      <c r="G10" s="3"/>
    </row>
    <row r="11" ht="27.75" customHeight="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6" t="s">
        <v>7</v>
      </c>
      <c r="G11" s="6" t="s">
        <v>30</v>
      </c>
      <c r="H11" s="7" t="s">
        <v>8</v>
      </c>
    </row>
    <row r="12" ht="21.75" customHeight="1">
      <c r="A12" s="30" t="s">
        <v>31</v>
      </c>
      <c r="B12" s="28" t="s">
        <v>32</v>
      </c>
      <c r="C12" s="29">
        <v>462400.0</v>
      </c>
      <c r="D12" s="11">
        <v>0.62</v>
      </c>
      <c r="E12" s="12">
        <f t="shared" ref="E12:E16" si="3">C12*(1-D12)</f>
        <v>175712</v>
      </c>
      <c r="F12" s="13">
        <f t="shared" ref="F12:F16" si="4">C12*D12</f>
        <v>286688</v>
      </c>
      <c r="G12" s="31">
        <f>F12/C17</f>
        <v>0.2720206467</v>
      </c>
      <c r="H12" s="4" t="s">
        <v>33</v>
      </c>
    </row>
    <row r="13" ht="21.75" customHeight="1">
      <c r="A13" s="8" t="s">
        <v>9</v>
      </c>
      <c r="B13" s="9" t="s">
        <v>10</v>
      </c>
      <c r="C13" s="10">
        <v>320520.0</v>
      </c>
      <c r="D13" s="11">
        <v>0.61</v>
      </c>
      <c r="E13" s="12">
        <f t="shared" si="3"/>
        <v>125002.8</v>
      </c>
      <c r="F13" s="13">
        <f t="shared" si="4"/>
        <v>195517.2</v>
      </c>
      <c r="G13" s="31">
        <f>F13/C17</f>
        <v>0.1855142705</v>
      </c>
      <c r="H13" s="4" t="s">
        <v>11</v>
      </c>
    </row>
    <row r="14" ht="21.75" customHeight="1">
      <c r="A14" s="30" t="s">
        <v>34</v>
      </c>
      <c r="B14" s="18" t="s">
        <v>35</v>
      </c>
      <c r="C14" s="29">
        <v>117600.0</v>
      </c>
      <c r="D14" s="11">
        <v>0.56</v>
      </c>
      <c r="E14" s="12">
        <f t="shared" si="3"/>
        <v>51744</v>
      </c>
      <c r="F14" s="13">
        <f t="shared" si="4"/>
        <v>65856</v>
      </c>
      <c r="G14" s="31">
        <f>F14/C17</f>
        <v>0.06248671626</v>
      </c>
      <c r="H14" s="4" t="s">
        <v>36</v>
      </c>
    </row>
    <row r="15" ht="21.75" customHeight="1">
      <c r="A15" s="8" t="s">
        <v>37</v>
      </c>
      <c r="B15" s="32" t="s">
        <v>38</v>
      </c>
      <c r="C15" s="10">
        <v>131800.0</v>
      </c>
      <c r="D15" s="11">
        <v>0.58</v>
      </c>
      <c r="E15" s="12">
        <f t="shared" si="3"/>
        <v>55356</v>
      </c>
      <c r="F15" s="13">
        <f t="shared" si="4"/>
        <v>76444</v>
      </c>
      <c r="G15" s="31">
        <f>F15/C17</f>
        <v>0.07253301958</v>
      </c>
      <c r="H15" s="4" t="s">
        <v>39</v>
      </c>
    </row>
    <row r="16" ht="21.75" customHeight="1">
      <c r="A16" s="30" t="s">
        <v>40</v>
      </c>
      <c r="B16" s="33" t="s">
        <v>41</v>
      </c>
      <c r="C16" s="29">
        <v>21600.0</v>
      </c>
      <c r="D16" s="11">
        <v>0.6</v>
      </c>
      <c r="E16" s="12">
        <f t="shared" si="3"/>
        <v>8640</v>
      </c>
      <c r="F16" s="13">
        <f t="shared" si="4"/>
        <v>12960</v>
      </c>
      <c r="G16" s="31">
        <f>F16/C17</f>
        <v>0.01229694853</v>
      </c>
      <c r="H16" s="4" t="s">
        <v>42</v>
      </c>
    </row>
    <row r="17" ht="25.5" customHeight="1">
      <c r="A17" s="34" t="s">
        <v>43</v>
      </c>
      <c r="B17" s="35"/>
      <c r="C17" s="36">
        <f>SUM(C12:C16)</f>
        <v>1053920</v>
      </c>
      <c r="D17" s="37">
        <f>F17/C17</f>
        <v>0.6048516016</v>
      </c>
      <c r="E17" s="36">
        <f t="shared" ref="E17:F17" si="5">SUM(E12:E16)</f>
        <v>416454.8</v>
      </c>
      <c r="F17" s="38">
        <f t="shared" si="5"/>
        <v>637465.2</v>
      </c>
      <c r="G17" s="39">
        <f>F17/C17</f>
        <v>0.6048516016</v>
      </c>
    </row>
    <row r="18" ht="14.25" customHeight="1"/>
    <row r="19" ht="7.5" customHeight="1"/>
    <row r="20" ht="18.0" customHeight="1">
      <c r="A20" s="40" t="s">
        <v>44</v>
      </c>
      <c r="B20" s="41" t="s">
        <v>45</v>
      </c>
      <c r="C20" s="42" t="s">
        <v>46</v>
      </c>
      <c r="D20" s="43" t="s">
        <v>5</v>
      </c>
      <c r="E20" s="43" t="s">
        <v>47</v>
      </c>
    </row>
    <row r="21" ht="30.0" customHeight="1">
      <c r="A21" s="44">
        <f>C17</f>
        <v>1053920</v>
      </c>
      <c r="B21" s="45">
        <f t="shared" ref="B21:C21" si="6">E17</f>
        <v>416454.8</v>
      </c>
      <c r="C21" s="46">
        <f t="shared" si="6"/>
        <v>637465.2</v>
      </c>
      <c r="D21" s="47">
        <f>F17/C17</f>
        <v>0.6048516016</v>
      </c>
      <c r="E21" s="48" t="s">
        <v>31</v>
      </c>
    </row>
    <row r="22" ht="14.25" customHeight="1"/>
    <row r="23" ht="14.25" customHeight="1">
      <c r="A23" s="49" t="s">
        <v>48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10:G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30.0"/>
    <col customWidth="1" min="4" max="5" width="16.0"/>
    <col customWidth="1" min="6" max="7" width="14.0"/>
    <col customWidth="1" min="8" max="9" width="18.0"/>
    <col customWidth="1" min="10" max="10" width="16.0"/>
    <col customWidth="1" min="11" max="11" width="18.0"/>
    <col customWidth="1" min="12" max="12" width="14.0"/>
    <col customWidth="1" min="13" max="13" width="32.0"/>
    <col customWidth="1" min="14" max="16" width="16.0"/>
  </cols>
  <sheetData>
    <row r="1" ht="31.5" customHeight="1">
      <c r="A1" s="50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15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6.0" customHeight="1"/>
    <row r="4" ht="36.0" customHeight="1">
      <c r="A4" s="16" t="s">
        <v>2</v>
      </c>
      <c r="B4" s="16" t="s">
        <v>3</v>
      </c>
      <c r="C4" s="16" t="s">
        <v>51</v>
      </c>
      <c r="D4" s="16" t="s">
        <v>52</v>
      </c>
      <c r="E4" s="16" t="s">
        <v>53</v>
      </c>
      <c r="F4" s="16" t="s">
        <v>54</v>
      </c>
      <c r="G4" s="16" t="s">
        <v>55</v>
      </c>
      <c r="H4" s="16" t="s">
        <v>56</v>
      </c>
      <c r="I4" s="16" t="s">
        <v>57</v>
      </c>
      <c r="J4" s="16" t="s">
        <v>58</v>
      </c>
      <c r="K4" s="16" t="s">
        <v>59</v>
      </c>
      <c r="L4" s="16" t="s">
        <v>60</v>
      </c>
      <c r="M4" s="16" t="s">
        <v>21</v>
      </c>
      <c r="N4" s="5" t="s">
        <v>61</v>
      </c>
      <c r="O4" s="5" t="s">
        <v>62</v>
      </c>
      <c r="P4" s="6" t="s">
        <v>63</v>
      </c>
    </row>
    <row r="5" ht="21.75" customHeight="1">
      <c r="A5" s="30" t="s">
        <v>31</v>
      </c>
      <c r="B5" s="28" t="s">
        <v>32</v>
      </c>
      <c r="C5" s="51" t="s">
        <v>64</v>
      </c>
      <c r="D5" s="52">
        <v>8500.0</v>
      </c>
      <c r="E5" s="53">
        <f t="shared" ref="E5:E9" si="1">D5*12</f>
        <v>102000</v>
      </c>
      <c r="F5" s="54">
        <v>1.0</v>
      </c>
      <c r="G5" s="55">
        <v>2.0</v>
      </c>
      <c r="H5" s="56">
        <f t="shared" ref="H5:H7" si="2">E5*F5</f>
        <v>102000</v>
      </c>
      <c r="I5" s="56">
        <f t="shared" ref="I5:I6" si="3">E5*G5</f>
        <v>204000</v>
      </c>
      <c r="J5" s="29">
        <v>85000.0</v>
      </c>
      <c r="K5" s="57">
        <f t="shared" ref="K5:K9" si="4">H5+I5+J5</f>
        <v>391000</v>
      </c>
      <c r="L5" s="58" t="str">
        <f t="shared" ref="L5:L9" si="5">IF(K5&gt;=60000,IF(K5&lt;=500000,"✓ In Range","⚠ Above Range"),"⚠ Below Range")</f>
        <v>✓ In Range</v>
      </c>
      <c r="M5" s="23" t="s">
        <v>65</v>
      </c>
      <c r="N5" s="11">
        <v>0.62</v>
      </c>
      <c r="O5" s="12">
        <f t="shared" ref="O5:O9" si="6">K5*(1-N5)</f>
        <v>148580</v>
      </c>
      <c r="P5" s="13">
        <f t="shared" ref="P5:P9" si="7">K5*N5</f>
        <v>242420</v>
      </c>
    </row>
    <row r="6" ht="21.75" customHeight="1">
      <c r="A6" s="8" t="s">
        <v>9</v>
      </c>
      <c r="B6" s="9" t="s">
        <v>10</v>
      </c>
      <c r="C6" s="59" t="s">
        <v>64</v>
      </c>
      <c r="D6" s="60">
        <v>6200.0</v>
      </c>
      <c r="E6" s="61">
        <f t="shared" si="1"/>
        <v>74400</v>
      </c>
      <c r="F6" s="54">
        <v>1.0</v>
      </c>
      <c r="G6" s="55">
        <v>2.0</v>
      </c>
      <c r="H6" s="62">
        <f t="shared" si="2"/>
        <v>74400</v>
      </c>
      <c r="I6" s="62">
        <f t="shared" si="3"/>
        <v>148800</v>
      </c>
      <c r="J6" s="10">
        <v>75000.0</v>
      </c>
      <c r="K6" s="63">
        <f t="shared" si="4"/>
        <v>298200</v>
      </c>
      <c r="L6" s="64" t="str">
        <f t="shared" si="5"/>
        <v>✓ In Range</v>
      </c>
      <c r="M6" s="27" t="s">
        <v>66</v>
      </c>
      <c r="N6" s="11">
        <v>0.61</v>
      </c>
      <c r="O6" s="12">
        <f t="shared" si="6"/>
        <v>116298</v>
      </c>
      <c r="P6" s="13">
        <f t="shared" si="7"/>
        <v>181902</v>
      </c>
    </row>
    <row r="7" ht="21.75" customHeight="1">
      <c r="A7" s="30" t="s">
        <v>34</v>
      </c>
      <c r="B7" s="18" t="s">
        <v>35</v>
      </c>
      <c r="C7" s="51" t="s">
        <v>67</v>
      </c>
      <c r="D7" s="52">
        <v>4800.0</v>
      </c>
      <c r="E7" s="53">
        <f t="shared" si="1"/>
        <v>57600</v>
      </c>
      <c r="F7" s="54">
        <v>1.0</v>
      </c>
      <c r="G7" s="65" t="s">
        <v>68</v>
      </c>
      <c r="H7" s="56">
        <f t="shared" si="2"/>
        <v>57600</v>
      </c>
      <c r="I7" s="56"/>
      <c r="J7" s="29">
        <v>60000.0</v>
      </c>
      <c r="K7" s="57">
        <f t="shared" si="4"/>
        <v>117600</v>
      </c>
      <c r="L7" s="58" t="str">
        <f t="shared" si="5"/>
        <v>✓ In Range</v>
      </c>
      <c r="M7" s="23" t="s">
        <v>69</v>
      </c>
      <c r="N7" s="11">
        <v>0.56</v>
      </c>
      <c r="O7" s="12">
        <f t="shared" si="6"/>
        <v>51744</v>
      </c>
      <c r="P7" s="13">
        <f t="shared" si="7"/>
        <v>65856</v>
      </c>
    </row>
    <row r="8" ht="21.75" customHeight="1">
      <c r="A8" s="8" t="s">
        <v>37</v>
      </c>
      <c r="B8" s="32" t="s">
        <v>38</v>
      </c>
      <c r="C8" s="59" t="s">
        <v>70</v>
      </c>
      <c r="D8" s="60">
        <v>3200.0</v>
      </c>
      <c r="E8" s="61">
        <f t="shared" si="1"/>
        <v>38400</v>
      </c>
      <c r="F8" s="66" t="s">
        <v>68</v>
      </c>
      <c r="G8" s="55">
        <v>2.0</v>
      </c>
      <c r="H8" s="62"/>
      <c r="I8" s="62">
        <f>E8*G8</f>
        <v>76800</v>
      </c>
      <c r="J8" s="10">
        <v>55000.0</v>
      </c>
      <c r="K8" s="63">
        <f t="shared" si="4"/>
        <v>131800</v>
      </c>
      <c r="L8" s="64" t="str">
        <f t="shared" si="5"/>
        <v>✓ In Range</v>
      </c>
      <c r="M8" s="27" t="s">
        <v>71</v>
      </c>
      <c r="N8" s="11">
        <v>0.58</v>
      </c>
      <c r="O8" s="12">
        <f t="shared" si="6"/>
        <v>55356</v>
      </c>
      <c r="P8" s="13">
        <f t="shared" si="7"/>
        <v>76444</v>
      </c>
    </row>
    <row r="9" ht="21.75" customHeight="1">
      <c r="A9" s="30" t="s">
        <v>40</v>
      </c>
      <c r="B9" s="67" t="s">
        <v>72</v>
      </c>
      <c r="C9" s="51" t="s">
        <v>22</v>
      </c>
      <c r="D9" s="52">
        <v>1800.0</v>
      </c>
      <c r="E9" s="53">
        <f t="shared" si="1"/>
        <v>21600</v>
      </c>
      <c r="F9" s="54">
        <v>1.0</v>
      </c>
      <c r="G9" s="65" t="s">
        <v>68</v>
      </c>
      <c r="H9" s="56">
        <f>E9*F9</f>
        <v>21600</v>
      </c>
      <c r="I9" s="56"/>
      <c r="J9" s="68"/>
      <c r="K9" s="57">
        <f t="shared" si="4"/>
        <v>21600</v>
      </c>
      <c r="L9" s="58" t="str">
        <f t="shared" si="5"/>
        <v>⚠ Below Range</v>
      </c>
      <c r="M9" s="23" t="s">
        <v>73</v>
      </c>
      <c r="N9" s="11">
        <v>0.6</v>
      </c>
      <c r="O9" s="12">
        <f t="shared" si="6"/>
        <v>8640</v>
      </c>
      <c r="P9" s="13">
        <f t="shared" si="7"/>
        <v>12960</v>
      </c>
    </row>
    <row r="10" ht="24.0" customHeight="1">
      <c r="A10" s="69" t="s">
        <v>74</v>
      </c>
      <c r="B10" s="70"/>
      <c r="C10" s="71"/>
      <c r="D10" s="72">
        <f t="shared" ref="D10:E10" si="8">SUM(D5:D9)</f>
        <v>24500</v>
      </c>
      <c r="E10" s="72">
        <f t="shared" si="8"/>
        <v>294000</v>
      </c>
      <c r="F10" s="35"/>
      <c r="G10" s="35"/>
      <c r="H10" s="36"/>
      <c r="I10" s="36"/>
      <c r="J10" s="36">
        <f t="shared" ref="J10:K10" si="9">SUM(J5:J9)</f>
        <v>275000</v>
      </c>
      <c r="K10" s="36">
        <f t="shared" si="9"/>
        <v>960200</v>
      </c>
      <c r="L10" s="35"/>
      <c r="M10" s="35"/>
      <c r="N10" s="37">
        <f>P10/K10</f>
        <v>0.6036054989</v>
      </c>
      <c r="O10" s="36">
        <f t="shared" ref="O10:P10" si="10">SUM(O5:O9)</f>
        <v>380618</v>
      </c>
      <c r="P10" s="38">
        <f t="shared" si="10"/>
        <v>579582</v>
      </c>
    </row>
    <row r="12">
      <c r="A12" s="73" t="s">
        <v>75</v>
      </c>
      <c r="B12" s="74" t="s">
        <v>76</v>
      </c>
      <c r="D12" s="75" t="s">
        <v>77</v>
      </c>
      <c r="F12" s="49" t="s">
        <v>78</v>
      </c>
    </row>
    <row r="13">
      <c r="H13" s="49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10:C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8.0"/>
    <col customWidth="1" min="3" max="3" width="16.0"/>
    <col customWidth="1" min="4" max="4" width="14.0"/>
    <col customWidth="1" min="5" max="6" width="16.0"/>
    <col customWidth="1" min="7" max="7" width="20.0"/>
    <col customWidth="1" min="8" max="8" width="36.0"/>
    <col customWidth="1" min="9" max="11" width="16.0"/>
  </cols>
  <sheetData>
    <row r="1">
      <c r="A1" s="14" t="s">
        <v>80</v>
      </c>
      <c r="B1" s="2"/>
      <c r="C1" s="2"/>
      <c r="D1" s="2"/>
      <c r="E1" s="2"/>
      <c r="F1" s="2"/>
      <c r="G1" s="2"/>
      <c r="H1" s="3"/>
    </row>
    <row r="2">
      <c r="A2" s="15" t="s">
        <v>81</v>
      </c>
      <c r="B2" s="2"/>
      <c r="C2" s="2"/>
      <c r="D2" s="2"/>
      <c r="E2" s="2"/>
      <c r="F2" s="2"/>
      <c r="G2" s="2"/>
      <c r="H2" s="3"/>
    </row>
    <row r="4">
      <c r="A4" s="16" t="s">
        <v>2</v>
      </c>
      <c r="B4" s="16" t="s">
        <v>15</v>
      </c>
      <c r="C4" s="16" t="s">
        <v>16</v>
      </c>
      <c r="D4" s="16" t="s">
        <v>17</v>
      </c>
      <c r="E4" s="16" t="s">
        <v>82</v>
      </c>
      <c r="F4" s="16" t="s">
        <v>83</v>
      </c>
      <c r="G4" s="16" t="s">
        <v>84</v>
      </c>
      <c r="H4" s="16" t="s">
        <v>21</v>
      </c>
      <c r="I4" s="5" t="s">
        <v>18</v>
      </c>
      <c r="J4" s="5" t="s">
        <v>85</v>
      </c>
      <c r="K4" s="6" t="s">
        <v>7</v>
      </c>
    </row>
    <row r="5">
      <c r="A5" s="30" t="s">
        <v>31</v>
      </c>
      <c r="B5" s="76" t="s">
        <v>22</v>
      </c>
      <c r="C5" s="18" t="s">
        <v>23</v>
      </c>
      <c r="D5" s="19">
        <v>1.2</v>
      </c>
      <c r="E5" s="52">
        <v>102000.0</v>
      </c>
      <c r="F5" s="77" t="s">
        <v>86</v>
      </c>
      <c r="G5" s="57">
        <f t="shared" ref="G5:G15" si="1">D5*E5</f>
        <v>122400</v>
      </c>
      <c r="H5" s="23" t="s">
        <v>87</v>
      </c>
      <c r="I5" s="11">
        <v>0.6</v>
      </c>
      <c r="J5" s="12">
        <f t="shared" ref="J5:J15" si="2">G5*(1-I5)</f>
        <v>48960</v>
      </c>
      <c r="K5" s="13">
        <f t="shared" ref="K5:K15" si="3">G5*I5</f>
        <v>73440</v>
      </c>
    </row>
    <row r="6">
      <c r="A6" s="8" t="s">
        <v>31</v>
      </c>
      <c r="B6" s="78" t="s">
        <v>25</v>
      </c>
      <c r="C6" s="18" t="s">
        <v>23</v>
      </c>
      <c r="D6" s="25">
        <v>2.5</v>
      </c>
      <c r="E6" s="60">
        <v>102000.0</v>
      </c>
      <c r="F6" s="79" t="s">
        <v>86</v>
      </c>
      <c r="G6" s="63">
        <f t="shared" si="1"/>
        <v>255000</v>
      </c>
      <c r="H6" s="27" t="s">
        <v>88</v>
      </c>
      <c r="I6" s="11">
        <v>0.65</v>
      </c>
      <c r="J6" s="12">
        <f t="shared" si="2"/>
        <v>89250</v>
      </c>
      <c r="K6" s="13">
        <f t="shared" si="3"/>
        <v>165750</v>
      </c>
    </row>
    <row r="7">
      <c r="A7" s="30" t="s">
        <v>31</v>
      </c>
      <c r="B7" s="76" t="s">
        <v>27</v>
      </c>
      <c r="C7" s="28" t="s">
        <v>28</v>
      </c>
      <c r="D7" s="19">
        <v>85000.0</v>
      </c>
      <c r="E7" s="52">
        <v>1.0</v>
      </c>
      <c r="F7" s="77" t="s">
        <v>89</v>
      </c>
      <c r="G7" s="57">
        <f t="shared" si="1"/>
        <v>85000</v>
      </c>
      <c r="H7" s="23" t="s">
        <v>90</v>
      </c>
      <c r="I7" s="11">
        <v>0.5</v>
      </c>
      <c r="J7" s="12">
        <f t="shared" si="2"/>
        <v>42500</v>
      </c>
      <c r="K7" s="13">
        <f t="shared" si="3"/>
        <v>42500</v>
      </c>
    </row>
    <row r="8">
      <c r="A8" s="8" t="s">
        <v>9</v>
      </c>
      <c r="B8" s="78" t="s">
        <v>22</v>
      </c>
      <c r="C8" s="18" t="s">
        <v>23</v>
      </c>
      <c r="D8" s="25">
        <v>1.1</v>
      </c>
      <c r="E8" s="60">
        <v>74400.0</v>
      </c>
      <c r="F8" s="79" t="s">
        <v>86</v>
      </c>
      <c r="G8" s="63">
        <f t="shared" si="1"/>
        <v>81840</v>
      </c>
      <c r="H8" s="27" t="s">
        <v>87</v>
      </c>
      <c r="I8" s="11">
        <v>0.6</v>
      </c>
      <c r="J8" s="12">
        <f t="shared" si="2"/>
        <v>32736</v>
      </c>
      <c r="K8" s="13">
        <f t="shared" si="3"/>
        <v>49104</v>
      </c>
    </row>
    <row r="9">
      <c r="A9" s="30" t="s">
        <v>9</v>
      </c>
      <c r="B9" s="76" t="s">
        <v>25</v>
      </c>
      <c r="C9" s="18" t="s">
        <v>23</v>
      </c>
      <c r="D9" s="19">
        <v>2.2</v>
      </c>
      <c r="E9" s="52">
        <v>74400.0</v>
      </c>
      <c r="F9" s="77" t="s">
        <v>86</v>
      </c>
      <c r="G9" s="57">
        <f t="shared" si="1"/>
        <v>163680</v>
      </c>
      <c r="H9" s="23" t="s">
        <v>88</v>
      </c>
      <c r="I9" s="11">
        <v>0.65</v>
      </c>
      <c r="J9" s="12">
        <f t="shared" si="2"/>
        <v>57288</v>
      </c>
      <c r="K9" s="13">
        <f t="shared" si="3"/>
        <v>106392</v>
      </c>
    </row>
    <row r="10">
      <c r="A10" s="8" t="s">
        <v>9</v>
      </c>
      <c r="B10" s="78" t="s">
        <v>27</v>
      </c>
      <c r="C10" s="28" t="s">
        <v>28</v>
      </c>
      <c r="D10" s="25">
        <v>75000.0</v>
      </c>
      <c r="E10" s="60">
        <v>1.0</v>
      </c>
      <c r="F10" s="79" t="s">
        <v>89</v>
      </c>
      <c r="G10" s="63">
        <f t="shared" si="1"/>
        <v>75000</v>
      </c>
      <c r="H10" s="27" t="s">
        <v>90</v>
      </c>
      <c r="I10" s="11">
        <v>0.5</v>
      </c>
      <c r="J10" s="12">
        <f t="shared" si="2"/>
        <v>37500</v>
      </c>
      <c r="K10" s="13">
        <f t="shared" si="3"/>
        <v>37500</v>
      </c>
    </row>
    <row r="11">
      <c r="A11" s="30" t="s">
        <v>34</v>
      </c>
      <c r="B11" s="76" t="s">
        <v>22</v>
      </c>
      <c r="C11" s="18" t="s">
        <v>23</v>
      </c>
      <c r="D11" s="19">
        <v>1.0</v>
      </c>
      <c r="E11" s="52">
        <v>57600.0</v>
      </c>
      <c r="F11" s="77" t="s">
        <v>86</v>
      </c>
      <c r="G11" s="57">
        <f t="shared" si="1"/>
        <v>57600</v>
      </c>
      <c r="H11" s="23" t="s">
        <v>87</v>
      </c>
      <c r="I11" s="11">
        <v>0.6</v>
      </c>
      <c r="J11" s="12">
        <f t="shared" si="2"/>
        <v>23040</v>
      </c>
      <c r="K11" s="13">
        <f t="shared" si="3"/>
        <v>34560</v>
      </c>
    </row>
    <row r="12">
      <c r="A12" s="8" t="s">
        <v>34</v>
      </c>
      <c r="B12" s="78" t="s">
        <v>27</v>
      </c>
      <c r="C12" s="28" t="s">
        <v>28</v>
      </c>
      <c r="D12" s="25">
        <v>60000.0</v>
      </c>
      <c r="E12" s="60">
        <v>1.0</v>
      </c>
      <c r="F12" s="79" t="s">
        <v>89</v>
      </c>
      <c r="G12" s="63">
        <f t="shared" si="1"/>
        <v>60000</v>
      </c>
      <c r="H12" s="27" t="s">
        <v>90</v>
      </c>
      <c r="I12" s="11">
        <v>0.5</v>
      </c>
      <c r="J12" s="12">
        <f t="shared" si="2"/>
        <v>30000</v>
      </c>
      <c r="K12" s="13">
        <f t="shared" si="3"/>
        <v>30000</v>
      </c>
    </row>
    <row r="13">
      <c r="A13" s="30" t="s">
        <v>37</v>
      </c>
      <c r="B13" s="76" t="s">
        <v>25</v>
      </c>
      <c r="C13" s="18" t="s">
        <v>23</v>
      </c>
      <c r="D13" s="19">
        <v>2.0</v>
      </c>
      <c r="E13" s="52">
        <v>38400.0</v>
      </c>
      <c r="F13" s="77" t="s">
        <v>86</v>
      </c>
      <c r="G13" s="57">
        <f t="shared" si="1"/>
        <v>76800</v>
      </c>
      <c r="H13" s="23" t="s">
        <v>88</v>
      </c>
      <c r="I13" s="11">
        <v>0.65</v>
      </c>
      <c r="J13" s="12">
        <f t="shared" si="2"/>
        <v>26880</v>
      </c>
      <c r="K13" s="13">
        <f t="shared" si="3"/>
        <v>49920</v>
      </c>
    </row>
    <row r="14">
      <c r="A14" s="8" t="s">
        <v>37</v>
      </c>
      <c r="B14" s="78" t="s">
        <v>27</v>
      </c>
      <c r="C14" s="28" t="s">
        <v>28</v>
      </c>
      <c r="D14" s="25">
        <v>55000.0</v>
      </c>
      <c r="E14" s="60">
        <v>1.0</v>
      </c>
      <c r="F14" s="79" t="s">
        <v>89</v>
      </c>
      <c r="G14" s="63">
        <f t="shared" si="1"/>
        <v>55000</v>
      </c>
      <c r="H14" s="27" t="s">
        <v>90</v>
      </c>
      <c r="I14" s="11">
        <v>0.5</v>
      </c>
      <c r="J14" s="12">
        <f t="shared" si="2"/>
        <v>27500</v>
      </c>
      <c r="K14" s="13">
        <f t="shared" si="3"/>
        <v>27500</v>
      </c>
    </row>
    <row r="15">
      <c r="A15" s="30" t="s">
        <v>40</v>
      </c>
      <c r="B15" s="76" t="s">
        <v>22</v>
      </c>
      <c r="C15" s="18" t="s">
        <v>23</v>
      </c>
      <c r="D15" s="19">
        <v>1.0</v>
      </c>
      <c r="E15" s="52">
        <v>21600.0</v>
      </c>
      <c r="F15" s="77" t="s">
        <v>86</v>
      </c>
      <c r="G15" s="57">
        <f t="shared" si="1"/>
        <v>21600</v>
      </c>
      <c r="H15" s="23" t="s">
        <v>87</v>
      </c>
      <c r="I15" s="11">
        <v>0.6</v>
      </c>
      <c r="J15" s="12">
        <f t="shared" si="2"/>
        <v>8640</v>
      </c>
      <c r="K15" s="13">
        <f t="shared" si="3"/>
        <v>12960</v>
      </c>
    </row>
    <row r="16">
      <c r="A16" s="69" t="s">
        <v>43</v>
      </c>
      <c r="B16" s="70"/>
      <c r="C16" s="70"/>
      <c r="D16" s="70"/>
      <c r="E16" s="70"/>
      <c r="F16" s="71"/>
      <c r="G16" s="36">
        <f>SUM(G5:G15)</f>
        <v>1053920</v>
      </c>
      <c r="H16" s="35"/>
      <c r="I16" s="37">
        <f>K16/G16</f>
        <v>0.5974134659</v>
      </c>
      <c r="J16" s="36">
        <f t="shared" ref="J16:K16" si="4">SUM(J5:J15)</f>
        <v>424294</v>
      </c>
      <c r="K16" s="38">
        <f t="shared" si="4"/>
        <v>629626</v>
      </c>
    </row>
    <row r="18">
      <c r="A18" s="49" t="s">
        <v>91</v>
      </c>
    </row>
  </sheetData>
  <mergeCells count="3">
    <mergeCell ref="A1:H1"/>
    <mergeCell ref="A2:H2"/>
    <mergeCell ref="A16:F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2026-04-22T17:29:10Z</dcterms:created>
  <dc:creator>openpyxl</dc:creator>
</cp:coreProperties>
</file>