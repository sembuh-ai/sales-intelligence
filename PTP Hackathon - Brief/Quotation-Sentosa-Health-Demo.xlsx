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otation" sheetId="1" r:id="rId5"/>
    <sheet state="visible" name="ROI &amp; Discount Rule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
ID#AAAB4tntTDU
Indi Bintang    (2026-04-22 17:12:41)
need to be auto update based on latest lettering number</t>
      </text>
    </comment>
    <comment authorId="0" ref="I5">
      <text>
        <t xml:space="preserve">======
ID#AAAB4tntTDY
Indi Bintang    (2026-04-22 17:12:51)
date today</t>
      </text>
    </comment>
    <comment authorId="0" ref="I6">
      <text>
        <t xml:space="preserve">======
ID#AAAB4tntTDc
Indi Bintang    (2026-04-22 17:13:04)
date today + 30 days</t>
      </text>
    </comment>
    <comment authorId="0" ref="M14">
      <text>
        <t xml:space="preserve">======
ID#AAAB1T-1ClU
Indi Bintang    (2026-03-03 13:32:43)
@rama.sutanto@sembuh.ai 
Ram, minta tolong format nya disesuain sama contoh attached yaa, jadi ngga usah pakai table2, kemudian urutan nya juga sesuai sama contoh attached</t>
      </text>
    </comment>
    <comment authorId="0" ref="B33">
      <text>
        <t xml:space="preserve">======
ID#AAAB4tntTDQ
Indi Bintang    (2026-04-22 17:08:58)
brown font need to auto generated based on monday and internal pricing
@david@sembuh.ai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ID#AAAB1Y0Xg44
Indi Bintang    (2026-03-05 08:12:42)
cek data sheets Bu Yuli tahun berapa</t>
      </text>
    </comment>
    <comment authorId="0" ref="A7">
      <text>
        <t xml:space="preserve">======
ID#AAAB1Y0Xg48
Indi Bintang    (2026-03-05 08:13:20)
assumption</t>
      </text>
    </comment>
  </commentList>
</comments>
</file>

<file path=xl/sharedStrings.xml><?xml version="1.0" encoding="utf-8"?>
<sst xmlns="http://schemas.openxmlformats.org/spreadsheetml/2006/main" count="96" uniqueCount="86">
  <si>
    <t>QUOTATION</t>
  </si>
  <si>
    <t>Ebenezer Building
Jl. Setiabudi Selatan No. 1, RT.2/RW.2, Karet, Kecamatan Setiabudi, Kota Jakarta Selatan, DKI Jakarta, Kode Pos 12920.</t>
  </si>
  <si>
    <t>SBH-Q-2026-0042</t>
  </si>
  <si>
    <t>Date:</t>
  </si>
  <si>
    <t>April 24, 2026</t>
  </si>
  <si>
    <t>Valid Until:</t>
  </si>
  <si>
    <t>May 24, 2026</t>
  </si>
  <si>
    <t>Prepared For:
Yoni Hartono | Sentosa Health Insurance
Jl. Gatot Subroto Kav. 71-73,
Jakarta Selatan, DKI Jakarta 12870</t>
  </si>
  <si>
    <t>Project Description</t>
  </si>
  <si>
    <t>AI-Powered Claims Processing Solution — OCR + FWA + STP modules for Sentosa Health Insurance.
Scope: 62,000 active members, ~4,200 claims/month (IP 30% / OP 70%).
Following successful 3-week PoC (April 2026). 10% commercial discount applied per client request.</t>
  </si>
  <si>
    <t>Item Description</t>
  </si>
  <si>
    <t xml:space="preserve">Scope </t>
  </si>
  <si>
    <t>UoM</t>
  </si>
  <si>
    <t>Cost</t>
  </si>
  <si>
    <t>1) Smart Claims Extraction (OCR-AI)</t>
  </si>
  <si>
    <t>Cloud OCR to extract key claim details (diagnosis, procedure, amounts) into structured data. Includes review/correction UI and API output. Covers typed + handwritten forms.</t>
  </si>
  <si>
    <t>Monthly</t>
  </si>
  <si>
    <t>2) Fraud, Waste &amp; Abuse Detection (FWA)</t>
  </si>
  <si>
    <t>Modules: Document Completeness, Eligibility Check, Coverage Approval, FWA Checks (Drug &amp; Agreed Pricing, Medical Relevance, Benchmarking, Duplicate Detection).</t>
  </si>
  <si>
    <t>3) Straight-Through Processing (STP)</t>
  </si>
  <si>
    <t>Auto-adjudication engine for low-risk claims. Rule-based approval with configurable thresholds. Reduces manual assessor workload by up to 40%.</t>
  </si>
  <si>
    <t>4) Implementation &amp; Model Training</t>
  </si>
  <si>
    <t>Initial model training on Sentosa claim form layouts (OCR fine-tuning), FWA rule calibration using historical outcomes, STP threshold configuration. Includes 200-300 sample form processing.</t>
  </si>
  <si>
    <t>One-time</t>
  </si>
  <si>
    <t>Monthly Subtotal</t>
  </si>
  <si>
    <t>Annual Service Fee (12 months)</t>
  </si>
  <si>
    <t>Implementation Fee</t>
  </si>
  <si>
    <t>Gross Total (before discount)</t>
  </si>
  <si>
    <t>Discount (10%)</t>
  </si>
  <si>
    <t>GRAND TOTAL (excl. tax)</t>
  </si>
  <si>
    <t>Effective Monthly Fee</t>
  </si>
  <si>
    <t xml:space="preserve">Discount </t>
  </si>
  <si>
    <t>Terms &amp; Conditions</t>
  </si>
  <si>
    <t>1. Service term is 12 months and renewable (subject to mutual agreement).
2. Payment due within 14 (fourteen) business days upon invoice receipt.
3. Annual fee is billed based on estimated annual volume/membership, payable in monthly installments.
4. Fees may be reviewed/adjusted annually based on actual volume/membership.
5. Pricing based on: estimated membership of ~62,000 members, estimated monthly claim volume of ~4,200 claims, with IP/OP mix ratio of 30%/70%.
6. Claim Processing Threshold: includes 5% buffer at no additional cost. If actual volume exceeds threshold, per-claim surcharge applies.
7. All prices stated in IDR and exclusive of applicable taxes (PPN 11%).
8. 10% discount applied per commercial negotiation (valid for initial 12-month term only). Standard pricing applies upon renewal unless renegotiated.</t>
  </si>
  <si>
    <t>Above information is not an invoice and only an estimate of services/goods described above.
Payment will be collected in prior to provision of services/goods described in this quote.
Please confirm your acceptance of this quote by signing this document</t>
  </si>
  <si>
    <t xml:space="preserve">ROI </t>
  </si>
  <si>
    <t xml:space="preserve">Member all </t>
  </si>
  <si>
    <t xml:space="preserve">1. Cost Containment </t>
  </si>
  <si>
    <t>Members Active</t>
  </si>
  <si>
    <t>AI Materialized Value</t>
  </si>
  <si>
    <t>6% conservative est. (4.8% reactive FWA + 1.2% proactive)</t>
  </si>
  <si>
    <t xml:space="preserve">Ratio </t>
  </si>
  <si>
    <t>Yearly Incurred (IDR)</t>
  </si>
  <si>
    <t>Annual Claims</t>
  </si>
  <si>
    <t xml:space="preserve">Total cost </t>
  </si>
  <si>
    <t>Yearly Investment</t>
  </si>
  <si>
    <t>Claims (all Sentosa)</t>
  </si>
  <si>
    <t xml:space="preserve">  Medilink 100% OP</t>
  </si>
  <si>
    <t xml:space="preserve">  Medilink 50% OP </t>
  </si>
  <si>
    <t xml:space="preserve">  Medilink 20% OP </t>
  </si>
  <si>
    <t>OCR COGS Breakdown</t>
  </si>
  <si>
    <t xml:space="preserve">Volume Claim </t>
  </si>
  <si>
    <t>page/claim</t>
  </si>
  <si>
    <t>IP Claims (30%)</t>
  </si>
  <si>
    <t xml:space="preserve">2. Manpower </t>
  </si>
  <si>
    <t>OP Claims (70%)</t>
  </si>
  <si>
    <t xml:space="preserve">Standard -&gt; see lovable </t>
  </si>
  <si>
    <t xml:space="preserve">3. Data captured </t>
  </si>
  <si>
    <t>DISCOUNT RULES</t>
  </si>
  <si>
    <t>Rule</t>
  </si>
  <si>
    <t>Condition</t>
  </si>
  <si>
    <t>Discount</t>
  </si>
  <si>
    <t>Approval Required</t>
  </si>
  <si>
    <t>Volume-based</t>
  </si>
  <si>
    <t>Annual claims &gt; 50,000</t>
  </si>
  <si>
    <t>5%</t>
  </si>
  <si>
    <t>Auto-approved</t>
  </si>
  <si>
    <t>Multi-module</t>
  </si>
  <si>
    <t>Client buys 3+ modules (OCR+FWA+STP)</t>
  </si>
  <si>
    <t>Long-term commitment</t>
  </si>
  <si>
    <t>Contract term &gt;= 24 months</t>
  </si>
  <si>
    <t>COO approval</t>
  </si>
  <si>
    <t>Strategic account</t>
  </si>
  <si>
    <t>Top-tier insurer or &gt;100K members</t>
  </si>
  <si>
    <t>5-10%</t>
  </si>
  <si>
    <t>CEO approval</t>
  </si>
  <si>
    <t>PoC conversion</t>
  </si>
  <si>
    <t>Converting from successful PoC within 30 days</t>
  </si>
  <si>
    <t>3%</t>
  </si>
  <si>
    <t>Negotiated / Ad-hoc</t>
  </si>
  <si>
    <t>Client-requested discount (case by case)</t>
  </si>
  <si>
    <t>Up to 15%</t>
  </si>
  <si>
    <t>Stacking Rules:</t>
  </si>
  <si>
    <t>Max combined discount: 15%. Volume + Multi-module can stack. Strategic/Negotiated cannot stack with each other.</t>
  </si>
  <si>
    <t>Sentosa Applied:</t>
  </si>
  <si>
    <t>Multi-module (5%) + PoC conversion (3%) + Negotiated (2%) = 10% total. Approved by CEO.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</si>
</sst>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Rp ]#,##0"/>
  </numFmts>
  <fonts count="29">
    <font>
      <sz val="11.0"/>
      <color theme="1"/>
      <name val="Calibri"/>
      <scheme val="minor"/>
    </font>
    <font>
      <sz val="12.0"/>
      <color theme="1"/>
      <name val="Calibri"/>
    </font>
    <font>
      <sz val="11.0"/>
      <color theme="1"/>
      <name val="Calibri"/>
    </font>
    <font>
      <b/>
      <sz val="18.0"/>
      <color theme="1"/>
      <name val="Calibri"/>
    </font>
    <font>
      <sz val="12.0"/>
      <color theme="1"/>
      <name val="Roboto"/>
    </font>
    <font>
      <sz val="11.0"/>
      <color theme="1"/>
      <name val="Roboto"/>
    </font>
    <font>
      <sz val="10.0"/>
      <color theme="1"/>
      <name val="Roboto"/>
    </font>
    <font>
      <b/>
      <sz val="12.0"/>
      <color rgb="FF000000"/>
      <name val="Roboto"/>
    </font>
    <font>
      <b/>
      <sz val="11.0"/>
      <color rgb="FF000000"/>
      <name val="Roboto"/>
    </font>
    <font/>
    <font>
      <b/>
      <sz val="10.0"/>
      <color rgb="FF000000"/>
      <name val="Roboto"/>
    </font>
    <font>
      <b/>
      <sz val="12.0"/>
      <color theme="1"/>
      <name val="Roboto"/>
    </font>
    <font>
      <b/>
      <sz val="11.0"/>
      <color theme="1"/>
      <name val="Roboto"/>
    </font>
    <font>
      <b/>
      <sz val="10.0"/>
      <color theme="1"/>
      <name val="Roboto"/>
    </font>
    <font>
      <sz val="9.0"/>
      <color rgb="FF000000"/>
      <name val="Arial"/>
    </font>
    <font>
      <b/>
      <sz val="9.0"/>
      <color theme="1"/>
      <name val="Arial"/>
    </font>
    <font>
      <sz val="9.0"/>
      <color theme="1"/>
      <name val="Arial"/>
    </font>
    <font>
      <b/>
      <sz val="9.0"/>
      <color rgb="FFDC2626"/>
      <name val="Arial"/>
    </font>
    <font>
      <b/>
      <sz val="11.0"/>
      <color theme="1"/>
      <name val="Arial"/>
    </font>
    <font>
      <sz val="9.0"/>
      <color rgb="FF64748B"/>
      <name val="Arial"/>
    </font>
    <font>
      <sz val="12.0"/>
      <color rgb="FF666666"/>
      <name val="Roboto"/>
    </font>
    <font>
      <sz val="11.0"/>
      <color rgb="FF666666"/>
      <name val="Roboto"/>
    </font>
    <font>
      <sz val="10.0"/>
      <color rgb="FF666666"/>
      <name val="Roboto"/>
    </font>
    <font>
      <sz val="10.0"/>
      <color theme="1"/>
      <name val="Google Sans"/>
    </font>
    <font>
      <b/>
      <sz val="11.0"/>
      <color theme="1"/>
      <name val="Calibri"/>
    </font>
    <font>
      <b/>
      <sz val="12.0"/>
      <color theme="1"/>
      <name val="Arial"/>
    </font>
    <font>
      <b/>
      <sz val="9.0"/>
      <color rgb="FFFFFFFF"/>
      <name val="Arial"/>
    </font>
    <font>
      <b/>
      <sz val="9.0"/>
      <color rgb="FF059669"/>
      <name val="Arial"/>
    </font>
    <font>
      <sz val="9.0"/>
      <color rgb="FF059669"/>
      <name val="Arial"/>
    </font>
  </fonts>
  <fills count="8">
    <fill>
      <patternFill patternType="none"/>
    </fill>
    <fill>
      <patternFill patternType="lightGray"/>
    </fill>
    <fill>
      <patternFill patternType="solid">
        <fgColor rgb="FFFFFF00"/>
        <bgColor rgb="FFFFFF00"/>
      </patternFill>
    </fill>
    <fill>
      <patternFill patternType="solid">
        <fgColor rgb="FFEFEFEF"/>
        <bgColor rgb="FFEFEFEF"/>
      </patternFill>
    </fill>
    <fill>
      <patternFill patternType="solid">
        <fgColor rgb="FFE8F5E9"/>
        <bgColor rgb="FFE8F5E9"/>
      </patternFill>
    </fill>
    <fill>
      <patternFill patternType="solid">
        <fgColor rgb="FFFFFFFF"/>
        <bgColor rgb="FFFFFFFF"/>
      </patternFill>
    </fill>
    <fill>
      <patternFill patternType="solid">
        <fgColor rgb="FF1E293B"/>
        <bgColor rgb="FF1E293B"/>
      </patternFill>
    </fill>
    <fill>
      <patternFill patternType="solid">
        <fgColor rgb="FFF8FAFC"/>
        <bgColor rgb="FFF8FAFC"/>
      </patternFill>
    </fill>
  </fills>
  <borders count="17">
    <border/>
    <border>
      <left/>
      <right/>
      <top/>
      <bottom/>
    </border>
    <border>
      <left/>
      <top/>
      <bottom/>
    </border>
    <border>
      <top/>
      <bottom/>
    </border>
    <border>
      <right/>
      <top/>
      <bottom/>
    </border>
    <border>
      <bottom style="thin">
        <color rgb="FFD9D9D9"/>
      </bottom>
    </border>
    <border>
      <left/>
      <top/>
    </border>
    <border>
      <top/>
    </border>
    <border>
      <right/>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horizontal="left" shrinkToFit="0" vertical="top" wrapText="0"/>
    </xf>
    <xf borderId="0" fillId="0" fontId="2" numFmtId="0" xfId="0" applyAlignment="1" applyFont="1">
      <alignment horizontal="center" shrinkToFit="0" vertical="top" wrapText="0"/>
    </xf>
    <xf borderId="0" fillId="0" fontId="2" numFmtId="0" xfId="0" applyAlignment="1" applyFont="1">
      <alignment shrinkToFit="0" vertical="top" wrapText="0"/>
    </xf>
    <xf borderId="0" fillId="0" fontId="3" numFmtId="0" xfId="0" applyAlignment="1" applyFont="1">
      <alignment horizontal="right" shrinkToFit="0" vertical="center" wrapText="0"/>
    </xf>
    <xf borderId="0" fillId="0" fontId="3" numFmtId="0" xfId="0" applyAlignment="1" applyFont="1">
      <alignment horizontal="center" shrinkToFit="0" vertical="center" wrapText="0"/>
    </xf>
    <xf borderId="0" fillId="0" fontId="2" numFmtId="0" xfId="0" applyAlignment="1" applyFont="1">
      <alignment shrinkToFit="0" vertical="bottom" wrapText="0"/>
    </xf>
    <xf borderId="0" fillId="0" fontId="4" numFmtId="0" xfId="0" applyAlignment="1" applyFont="1">
      <alignment shrinkToFit="0" vertical="top" wrapText="0"/>
    </xf>
    <xf borderId="0" fillId="0" fontId="5" numFmtId="0" xfId="0" applyAlignment="1" applyFont="1">
      <alignment shrinkToFit="0" vertical="top" wrapText="0"/>
    </xf>
    <xf borderId="0" fillId="0" fontId="4" numFmtId="0" xfId="0" applyAlignment="1" applyFont="1">
      <alignment shrinkToFit="0" vertical="center" wrapText="1"/>
    </xf>
    <xf borderId="0" fillId="0" fontId="5" numFmtId="0" xfId="0" applyAlignment="1" applyFont="1">
      <alignment shrinkToFit="0" vertical="bottom" wrapText="1"/>
    </xf>
    <xf borderId="0" fillId="0" fontId="5" numFmtId="0" xfId="0" applyAlignment="1" applyFont="1">
      <alignment shrinkToFit="0" vertical="center" wrapText="1"/>
    </xf>
    <xf borderId="0" fillId="0" fontId="5" numFmtId="0" xfId="0" applyAlignment="1" applyFont="1">
      <alignment shrinkToFit="0" vertical="center" wrapText="0"/>
    </xf>
    <xf borderId="1" fillId="2" fontId="5" numFmtId="0" xfId="0" applyAlignment="1" applyBorder="1" applyFill="1" applyFont="1">
      <alignment horizontal="right" shrinkToFit="0" vertical="center" wrapText="0"/>
    </xf>
    <xf borderId="0" fillId="0" fontId="6" numFmtId="0" xfId="0" applyAlignment="1" applyFont="1">
      <alignment horizontal="right" shrinkToFit="0" vertical="center" wrapText="0"/>
    </xf>
    <xf borderId="1" fillId="2" fontId="5" numFmtId="164" xfId="0" applyAlignment="1" applyBorder="1" applyFont="1" applyNumberFormat="1">
      <alignment shrinkToFit="0" vertical="center" wrapText="0"/>
    </xf>
    <xf borderId="0" fillId="0" fontId="6" numFmtId="164" xfId="0" applyAlignment="1" applyFont="1" applyNumberFormat="1">
      <alignment shrinkToFit="0" vertical="center" wrapText="0"/>
    </xf>
    <xf borderId="0" fillId="0" fontId="4" numFmtId="0" xfId="0" applyAlignment="1" applyFont="1">
      <alignment shrinkToFit="0" vertical="center" wrapText="0"/>
    </xf>
    <xf borderId="0" fillId="0" fontId="7" numFmtId="0" xfId="0" applyAlignment="1" applyFont="1">
      <alignment shrinkToFit="0" vertical="center" wrapText="0"/>
    </xf>
    <xf borderId="2" fillId="2" fontId="8" numFmtId="0" xfId="0" applyAlignment="1" applyBorder="1" applyFont="1">
      <alignment shrinkToFit="0" vertical="center" wrapText="0"/>
    </xf>
    <xf borderId="3" fillId="0" fontId="9" numFmtId="0" xfId="0" applyBorder="1" applyFont="1"/>
    <xf borderId="4" fillId="0" fontId="9" numFmtId="0" xfId="0" applyBorder="1" applyFont="1"/>
    <xf borderId="0" fillId="0" fontId="10" numFmtId="0" xfId="0" applyAlignment="1" applyFont="1">
      <alignment shrinkToFit="0" vertical="center" wrapText="0"/>
    </xf>
    <xf borderId="0" fillId="0" fontId="6" numFmtId="0" xfId="0" applyAlignment="1" applyFont="1">
      <alignment shrinkToFit="0" vertical="top" wrapText="0"/>
    </xf>
    <xf borderId="0" fillId="0" fontId="11" numFmtId="0" xfId="0" applyAlignment="1" applyFont="1">
      <alignment shrinkToFit="0" vertical="center" wrapText="0"/>
    </xf>
    <xf borderId="2" fillId="3" fontId="12" numFmtId="0" xfId="0" applyAlignment="1" applyBorder="1" applyFill="1" applyFont="1">
      <alignment shrinkToFit="0" vertical="center" wrapText="0"/>
    </xf>
    <xf borderId="1" fillId="3" fontId="12" numFmtId="0" xfId="0" applyAlignment="1" applyBorder="1" applyFont="1">
      <alignment horizontal="center" shrinkToFit="0" vertical="center" wrapText="0"/>
    </xf>
    <xf borderId="0" fillId="0" fontId="13" numFmtId="0" xfId="0" applyAlignment="1" applyFont="1">
      <alignment horizontal="center" shrinkToFit="0" vertical="center" wrapText="0"/>
    </xf>
    <xf borderId="0" fillId="0" fontId="4" numFmtId="0" xfId="0" applyAlignment="1" applyFont="1">
      <alignment shrinkToFit="0" vertical="top" wrapText="1"/>
    </xf>
    <xf borderId="2" fillId="2" fontId="5" numFmtId="0" xfId="0" applyAlignment="1" applyBorder="1" applyFont="1">
      <alignment shrinkToFit="0" vertical="center" wrapText="1"/>
    </xf>
    <xf borderId="0" fillId="0" fontId="6" numFmtId="0" xfId="0" applyAlignment="1" applyFont="1">
      <alignment shrinkToFit="0" vertical="top" wrapText="1"/>
    </xf>
    <xf borderId="2" fillId="3" fontId="12" numFmtId="0" xfId="0" applyAlignment="1" applyBorder="1" applyFont="1">
      <alignment horizontal="center" shrinkToFit="0" vertical="center" wrapText="0"/>
    </xf>
    <xf borderId="0" fillId="0" fontId="4" numFmtId="0" xfId="0" applyAlignment="1" applyFont="1">
      <alignment horizontal="left" shrinkToFit="0" vertical="center" wrapText="1"/>
    </xf>
    <xf borderId="5" fillId="0" fontId="14" numFmtId="0" xfId="0" applyAlignment="1" applyBorder="1" applyFont="1">
      <alignment shrinkToFit="0" vertical="top" wrapText="1"/>
    </xf>
    <xf borderId="5" fillId="0" fontId="9" numFmtId="0" xfId="0" applyBorder="1" applyFont="1"/>
    <xf borderId="0" fillId="0" fontId="14" numFmtId="165" xfId="0" applyAlignment="1" applyFont="1" applyNumberFormat="1">
      <alignment shrinkToFit="0" vertical="top" wrapText="1"/>
    </xf>
    <xf borderId="1" fillId="2" fontId="14" numFmtId="165" xfId="0" applyAlignment="1" applyBorder="1" applyFont="1" applyNumberFormat="1">
      <alignment shrinkToFit="0" vertical="top" wrapText="1"/>
    </xf>
    <xf borderId="0" fillId="0" fontId="6" numFmtId="165" xfId="0" applyAlignment="1" applyFont="1" applyNumberFormat="1">
      <alignment horizontal="center" shrinkToFit="0" vertical="center" wrapText="1"/>
    </xf>
    <xf borderId="0" fillId="0" fontId="6" numFmtId="0" xfId="0" applyAlignment="1" applyFont="1">
      <alignment shrinkToFit="0" vertical="bottom" wrapText="0"/>
    </xf>
    <xf borderId="0" fillId="0" fontId="14" numFmtId="0" xfId="0" applyAlignment="1" applyFont="1">
      <alignment shrinkToFit="0" vertical="top" wrapText="1"/>
    </xf>
    <xf borderId="0" fillId="2" fontId="14" numFmtId="165" xfId="0" applyAlignment="1" applyFont="1" applyNumberFormat="1">
      <alignment shrinkToFit="0" vertical="top" wrapText="1"/>
    </xf>
    <xf borderId="0" fillId="0" fontId="15" numFmtId="0" xfId="0" applyAlignment="1" applyFont="1">
      <alignment shrinkToFit="0" vertical="bottom" wrapText="0"/>
    </xf>
    <xf borderId="0" fillId="0" fontId="15" numFmtId="165" xfId="0" applyAlignment="1" applyFont="1" applyNumberFormat="1">
      <alignment shrinkToFit="0" vertical="bottom" wrapText="0"/>
    </xf>
    <xf borderId="0" fillId="0" fontId="16" numFmtId="0" xfId="0" applyAlignment="1" applyFont="1">
      <alignment shrinkToFit="0" vertical="bottom" wrapText="0"/>
    </xf>
    <xf borderId="0" fillId="0" fontId="16" numFmtId="165" xfId="0" applyAlignment="1" applyFont="1" applyNumberFormat="1">
      <alignment shrinkToFit="0" vertical="bottom" wrapText="0"/>
    </xf>
    <xf borderId="0" fillId="0" fontId="17" numFmtId="0" xfId="0" applyAlignment="1" applyFont="1">
      <alignment shrinkToFit="0" vertical="bottom" wrapText="0"/>
    </xf>
    <xf borderId="0" fillId="0" fontId="17" numFmtId="165" xfId="0" applyAlignment="1" applyFont="1" applyNumberFormat="1">
      <alignment shrinkToFit="0" vertical="bottom" wrapText="0"/>
    </xf>
    <xf borderId="0" fillId="0" fontId="18" numFmtId="0" xfId="0" applyAlignment="1" applyFont="1">
      <alignment shrinkToFit="0" vertical="bottom" wrapText="0"/>
    </xf>
    <xf borderId="1" fillId="4" fontId="18" numFmtId="165" xfId="0" applyAlignment="1" applyBorder="1" applyFill="1" applyFont="1" applyNumberFormat="1">
      <alignment shrinkToFit="0" vertical="bottom" wrapText="0"/>
    </xf>
    <xf borderId="0" fillId="0" fontId="19" numFmtId="0" xfId="0" applyAlignment="1" applyFont="1">
      <alignment shrinkToFit="0" vertical="bottom" wrapText="0"/>
    </xf>
    <xf borderId="0" fillId="0" fontId="19" numFmtId="165" xfId="0" applyAlignment="1" applyFont="1" applyNumberFormat="1">
      <alignment shrinkToFit="0" vertical="bottom" wrapText="0"/>
    </xf>
    <xf borderId="1" fillId="5" fontId="12" numFmtId="0" xfId="0" applyAlignment="1" applyBorder="1" applyFill="1" applyFont="1">
      <alignment shrinkToFit="0" vertical="center" wrapText="0"/>
    </xf>
    <xf borderId="0" fillId="0" fontId="13" numFmtId="0" xfId="0" applyAlignment="1" applyFont="1">
      <alignment shrinkToFit="0" vertical="center" wrapText="0"/>
    </xf>
    <xf borderId="2" fillId="5" fontId="12" numFmtId="0" xfId="0" applyAlignment="1" applyBorder="1" applyFont="1">
      <alignment shrinkToFit="0" vertical="center" wrapText="0"/>
    </xf>
    <xf borderId="6" fillId="5" fontId="12" numFmtId="0" xfId="0" applyAlignment="1" applyBorder="1" applyFont="1">
      <alignment shrinkToFit="0" vertical="center" wrapText="0"/>
    </xf>
    <xf borderId="7" fillId="5" fontId="12" numFmtId="0" xfId="0" applyAlignment="1" applyBorder="1" applyFont="1">
      <alignment shrinkToFit="0" vertical="center" wrapText="0"/>
    </xf>
    <xf borderId="8" fillId="5" fontId="12" numFmtId="0" xfId="0" applyAlignment="1" applyBorder="1" applyFont="1">
      <alignment shrinkToFit="0" vertical="center" wrapText="0"/>
    </xf>
    <xf borderId="0" fillId="0" fontId="5" numFmtId="0" xfId="0" applyAlignment="1" applyFont="1">
      <alignment shrinkToFit="0" vertical="top" wrapText="1"/>
    </xf>
    <xf borderId="0" fillId="0" fontId="20" numFmtId="0" xfId="0" applyAlignment="1" applyFont="1">
      <alignment horizontal="right" shrinkToFit="0" vertical="center" wrapText="1"/>
    </xf>
    <xf borderId="0" fillId="0" fontId="21" numFmtId="0" xfId="0" applyAlignment="1" applyFont="1">
      <alignment horizontal="right" shrinkToFit="0" vertical="center" wrapText="1"/>
    </xf>
    <xf borderId="0" fillId="0" fontId="22" numFmtId="0" xfId="0" applyAlignment="1" applyFont="1">
      <alignment horizontal="right" shrinkToFit="0" vertical="center" wrapText="1"/>
    </xf>
    <xf borderId="0" fillId="0" fontId="23" numFmtId="0" xfId="0" applyAlignment="1" applyFont="1">
      <alignment shrinkToFit="0" vertical="top" wrapText="0"/>
    </xf>
    <xf borderId="0" fillId="0" fontId="23" numFmtId="0" xfId="0" applyAlignment="1" applyFont="1">
      <alignment horizontal="center" shrinkToFit="0" vertical="bottom" wrapText="0"/>
    </xf>
    <xf borderId="9" fillId="0" fontId="23" numFmtId="0" xfId="0" applyAlignment="1" applyBorder="1" applyFont="1">
      <alignment shrinkToFit="0" vertical="top" wrapText="0"/>
    </xf>
    <xf borderId="10" fillId="0" fontId="23" numFmtId="0" xfId="0" applyAlignment="1" applyBorder="1" applyFont="1">
      <alignment horizontal="center" shrinkToFit="0" vertical="bottom" wrapText="0"/>
    </xf>
    <xf borderId="11" fillId="0" fontId="2" numFmtId="0" xfId="0" applyAlignment="1" applyBorder="1" applyFont="1">
      <alignment shrinkToFit="0" vertical="bottom" wrapText="0"/>
    </xf>
    <xf borderId="10" fillId="0" fontId="2" numFmtId="0" xfId="0" applyAlignment="1" applyBorder="1" applyFont="1">
      <alignment shrinkToFit="0" vertical="bottom" wrapText="0"/>
    </xf>
    <xf borderId="12" fillId="0" fontId="23" numFmtId="0" xfId="0" applyAlignment="1" applyBorder="1" applyFont="1">
      <alignment shrinkToFit="0" vertical="top" wrapText="0"/>
    </xf>
    <xf borderId="13" fillId="0" fontId="2" numFmtId="0" xfId="0" applyAlignment="1" applyBorder="1" applyFont="1">
      <alignment shrinkToFit="0" vertical="bottom" wrapText="0"/>
    </xf>
    <xf borderId="14" fillId="0" fontId="2" numFmtId="0" xfId="0" applyAlignment="1" applyBorder="1" applyFont="1">
      <alignment shrinkToFit="0" vertical="bottom" wrapText="0"/>
    </xf>
    <xf borderId="15" fillId="0" fontId="2" numFmtId="0" xfId="0" applyAlignment="1" applyBorder="1" applyFont="1">
      <alignment shrinkToFit="0" vertical="bottom" wrapText="0"/>
    </xf>
    <xf borderId="15" fillId="0" fontId="2" numFmtId="0" xfId="0" applyAlignment="1" applyBorder="1" applyFont="1">
      <alignment shrinkToFit="0" vertical="top" wrapText="0"/>
    </xf>
    <xf borderId="16" fillId="0" fontId="2" numFmtId="0" xfId="0" applyAlignment="1" applyBorder="1" applyFont="1">
      <alignment shrinkToFit="0" vertical="top" wrapText="0"/>
    </xf>
    <xf borderId="0" fillId="0" fontId="2" numFmtId="9" xfId="0" applyAlignment="1" applyFont="1" applyNumberFormat="1">
      <alignment shrinkToFit="0" vertical="bottom" wrapText="0"/>
    </xf>
    <xf borderId="0" fillId="0" fontId="2" numFmtId="3" xfId="0" applyAlignment="1" applyFont="1" applyNumberFormat="1">
      <alignment shrinkToFit="0" vertical="bottom" wrapText="0"/>
    </xf>
    <xf borderId="0" fillId="0" fontId="24" numFmtId="0" xfId="0" applyAlignment="1" applyFont="1">
      <alignment shrinkToFit="0" vertical="bottom" wrapText="0"/>
    </xf>
    <xf borderId="0" fillId="0" fontId="2" numFmtId="10" xfId="0" applyAlignment="1" applyFont="1" applyNumberFormat="1">
      <alignment shrinkToFit="0" vertical="bottom" wrapText="0"/>
    </xf>
    <xf borderId="0" fillId="0" fontId="25" numFmtId="0" xfId="0" applyAlignment="1" applyFont="1">
      <alignment shrinkToFit="0" vertical="bottom" wrapText="0"/>
    </xf>
    <xf borderId="1" fillId="6" fontId="26" numFmtId="0" xfId="0" applyAlignment="1" applyBorder="1" applyFill="1" applyFont="1">
      <alignment shrinkToFit="0" vertical="bottom" wrapText="0"/>
    </xf>
    <xf borderId="1" fillId="7" fontId="16" numFmtId="0" xfId="0" applyAlignment="1" applyBorder="1" applyFill="1" applyFont="1">
      <alignment shrinkToFit="0" vertical="bottom" wrapText="0"/>
    </xf>
    <xf borderId="0" fillId="0" fontId="16" numFmtId="3" xfId="0" applyAlignment="1" applyFont="1" applyNumberFormat="1">
      <alignment shrinkToFit="0" vertical="bottom" wrapText="0"/>
    </xf>
    <xf borderId="0" fillId="0" fontId="27" numFmtId="0" xfId="0" applyAlignment="1" applyFont="1">
      <alignment shrinkToFit="0" vertical="bottom" wrapText="0"/>
    </xf>
    <xf borderId="0" fillId="0" fontId="28" numFmtId="3"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895350"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showGridLines="0" workbookViewId="0"/>
  </sheetViews>
  <sheetFormatPr customHeight="1" defaultColWidth="14.43" defaultRowHeight="15.0"/>
  <cols>
    <col customWidth="1" min="1" max="1" width="4.0"/>
    <col customWidth="1" min="2" max="3" width="20.14"/>
    <col customWidth="1" min="4" max="5" width="11.57"/>
    <col customWidth="1" min="6" max="6" width="10.14"/>
    <col customWidth="1" min="7" max="7" width="11.57"/>
    <col customWidth="1" min="8" max="9" width="20.14"/>
    <col customWidth="1" min="10" max="10" width="5.43"/>
  </cols>
  <sheetData>
    <row r="1" ht="24.0" customHeight="1">
      <c r="A1" s="1"/>
      <c r="B1" s="1"/>
      <c r="D1" s="2"/>
      <c r="E1" s="3"/>
      <c r="F1" s="3"/>
      <c r="G1" s="3"/>
      <c r="H1" s="4" t="s">
        <v>0</v>
      </c>
      <c r="J1" s="5"/>
      <c r="K1" s="6"/>
      <c r="L1" s="6"/>
      <c r="M1" s="6"/>
      <c r="N1" s="6"/>
      <c r="O1" s="6"/>
      <c r="P1" s="6"/>
      <c r="Q1" s="6"/>
      <c r="R1" s="6"/>
      <c r="S1" s="6"/>
      <c r="T1" s="6"/>
      <c r="U1" s="6"/>
      <c r="V1" s="6"/>
      <c r="W1" s="6"/>
      <c r="X1" s="6"/>
      <c r="Y1" s="6"/>
      <c r="Z1" s="6"/>
    </row>
    <row r="2" ht="24.0" customHeight="1">
      <c r="A2" s="1"/>
      <c r="D2" s="2"/>
      <c r="E2" s="3"/>
      <c r="F2" s="3"/>
      <c r="G2" s="3"/>
      <c r="J2" s="5"/>
      <c r="K2" s="6"/>
      <c r="L2" s="6"/>
      <c r="M2" s="6"/>
      <c r="N2" s="6"/>
      <c r="O2" s="6"/>
      <c r="P2" s="6"/>
      <c r="Q2" s="6"/>
      <c r="R2" s="6"/>
      <c r="S2" s="6"/>
      <c r="T2" s="6"/>
      <c r="U2" s="6"/>
      <c r="V2" s="6"/>
      <c r="W2" s="6"/>
      <c r="X2" s="6"/>
      <c r="Y2" s="6"/>
      <c r="Z2" s="6"/>
    </row>
    <row r="3" ht="24.0" customHeight="1">
      <c r="A3" s="7"/>
      <c r="B3" s="8"/>
      <c r="C3" s="8"/>
      <c r="D3" s="8"/>
      <c r="E3" s="8"/>
      <c r="F3" s="8"/>
      <c r="G3" s="8"/>
      <c r="H3" s="8"/>
      <c r="I3" s="8"/>
      <c r="J3" s="3"/>
      <c r="K3" s="6"/>
      <c r="L3" s="6"/>
      <c r="M3" s="6"/>
      <c r="N3" s="6"/>
      <c r="O3" s="6"/>
      <c r="P3" s="6"/>
      <c r="Q3" s="6"/>
      <c r="R3" s="6"/>
      <c r="S3" s="6"/>
      <c r="T3" s="6"/>
      <c r="U3" s="6"/>
      <c r="V3" s="6"/>
      <c r="W3" s="6"/>
      <c r="X3" s="6"/>
      <c r="Y3" s="6"/>
      <c r="Z3" s="6"/>
    </row>
    <row r="4" ht="68.25" customHeight="1">
      <c r="A4" s="9"/>
      <c r="B4" s="10" t="s">
        <v>1</v>
      </c>
      <c r="D4" s="11"/>
      <c r="E4" s="8"/>
      <c r="F4" s="8"/>
      <c r="G4" s="8"/>
      <c r="H4" s="12" t="s">
        <v>2</v>
      </c>
      <c r="I4" s="13"/>
      <c r="J4" s="14"/>
      <c r="K4" s="6"/>
      <c r="L4" s="6"/>
      <c r="M4" s="6"/>
      <c r="N4" s="6"/>
      <c r="O4" s="6"/>
      <c r="P4" s="6"/>
      <c r="Q4" s="6"/>
      <c r="R4" s="6"/>
      <c r="S4" s="6"/>
      <c r="T4" s="6"/>
      <c r="U4" s="6"/>
      <c r="V4" s="6"/>
      <c r="W4" s="6"/>
      <c r="X4" s="6"/>
      <c r="Y4" s="6"/>
      <c r="Z4" s="6"/>
    </row>
    <row r="5" ht="24.0" customHeight="1">
      <c r="A5" s="9"/>
      <c r="B5" s="11"/>
      <c r="D5" s="11"/>
      <c r="E5" s="8"/>
      <c r="F5" s="8"/>
      <c r="G5" s="8"/>
      <c r="H5" s="12" t="s">
        <v>3</v>
      </c>
      <c r="I5" s="15" t="s">
        <v>4</v>
      </c>
      <c r="J5" s="16"/>
      <c r="K5" s="6"/>
      <c r="L5" s="6"/>
      <c r="M5" s="6"/>
      <c r="N5" s="6"/>
      <c r="O5" s="6"/>
      <c r="P5" s="6"/>
      <c r="Q5" s="6"/>
      <c r="R5" s="6"/>
      <c r="S5" s="6"/>
      <c r="T5" s="6"/>
      <c r="U5" s="6"/>
      <c r="V5" s="6"/>
      <c r="W5" s="6"/>
      <c r="X5" s="6"/>
      <c r="Y5" s="6"/>
      <c r="Z5" s="6"/>
    </row>
    <row r="6" ht="24.0" customHeight="1">
      <c r="A6" s="17"/>
      <c r="B6" s="12"/>
      <c r="D6" s="12"/>
      <c r="E6" s="8"/>
      <c r="F6" s="8"/>
      <c r="G6" s="8"/>
      <c r="H6" s="12" t="s">
        <v>5</v>
      </c>
      <c r="I6" s="15" t="s">
        <v>6</v>
      </c>
      <c r="J6" s="16"/>
      <c r="K6" s="6"/>
      <c r="L6" s="6"/>
      <c r="M6" s="6"/>
      <c r="N6" s="6"/>
      <c r="O6" s="6"/>
      <c r="P6" s="6"/>
      <c r="Q6" s="6"/>
      <c r="R6" s="6"/>
      <c r="S6" s="6"/>
      <c r="T6" s="6"/>
      <c r="U6" s="6"/>
      <c r="V6" s="6"/>
      <c r="W6" s="6"/>
      <c r="X6" s="6"/>
      <c r="Y6" s="6"/>
      <c r="Z6" s="6"/>
    </row>
    <row r="7" ht="15.0" customHeight="1">
      <c r="A7" s="18"/>
      <c r="B7" s="19" t="s">
        <v>7</v>
      </c>
      <c r="C7" s="20"/>
      <c r="D7" s="20"/>
      <c r="E7" s="20"/>
      <c r="F7" s="20"/>
      <c r="G7" s="20"/>
      <c r="H7" s="20"/>
      <c r="I7" s="21"/>
      <c r="J7" s="22"/>
      <c r="K7" s="6"/>
      <c r="L7" s="6"/>
      <c r="M7" s="6"/>
      <c r="N7" s="6"/>
      <c r="O7" s="6"/>
      <c r="P7" s="6"/>
      <c r="Q7" s="6"/>
      <c r="R7" s="6"/>
      <c r="S7" s="6"/>
      <c r="T7" s="6"/>
      <c r="U7" s="6"/>
      <c r="V7" s="6"/>
      <c r="W7" s="6"/>
      <c r="X7" s="6"/>
      <c r="Y7" s="6"/>
      <c r="Z7" s="6"/>
    </row>
    <row r="8" ht="24.0" customHeight="1">
      <c r="A8" s="7"/>
      <c r="B8" s="8"/>
      <c r="C8" s="8"/>
      <c r="D8" s="8"/>
      <c r="E8" s="8"/>
      <c r="F8" s="8"/>
      <c r="G8" s="8"/>
      <c r="H8" s="8"/>
      <c r="I8" s="8"/>
      <c r="J8" s="23"/>
      <c r="K8" s="6"/>
      <c r="L8" s="6"/>
      <c r="M8" s="6"/>
      <c r="N8" s="6"/>
      <c r="O8" s="6"/>
      <c r="P8" s="6"/>
      <c r="Q8" s="6"/>
      <c r="R8" s="6"/>
      <c r="S8" s="6"/>
      <c r="T8" s="6"/>
      <c r="U8" s="6"/>
      <c r="V8" s="6"/>
      <c r="W8" s="6"/>
      <c r="X8" s="6"/>
      <c r="Y8" s="6"/>
      <c r="Z8" s="6"/>
    </row>
    <row r="9" ht="25.5" customHeight="1">
      <c r="A9" s="24"/>
      <c r="B9" s="25" t="s">
        <v>8</v>
      </c>
      <c r="C9" s="20"/>
      <c r="D9" s="20"/>
      <c r="E9" s="21"/>
      <c r="F9" s="26"/>
      <c r="G9" s="26"/>
      <c r="H9" s="26"/>
      <c r="I9" s="26"/>
      <c r="J9" s="27"/>
      <c r="K9" s="6"/>
      <c r="L9" s="6"/>
      <c r="M9" s="6"/>
      <c r="N9" s="6"/>
      <c r="O9" s="6"/>
      <c r="P9" s="6"/>
      <c r="Q9" s="6"/>
      <c r="R9" s="6"/>
      <c r="S9" s="6"/>
      <c r="T9" s="6"/>
      <c r="U9" s="6"/>
      <c r="V9" s="6"/>
      <c r="W9" s="6"/>
      <c r="X9" s="6"/>
      <c r="Y9" s="6"/>
      <c r="Z9" s="6"/>
    </row>
    <row r="10" ht="42.0" customHeight="1">
      <c r="A10" s="28"/>
      <c r="B10" s="29" t="s">
        <v>9</v>
      </c>
      <c r="C10" s="20"/>
      <c r="D10" s="20"/>
      <c r="E10" s="20"/>
      <c r="F10" s="20"/>
      <c r="G10" s="20"/>
      <c r="H10" s="20"/>
      <c r="I10" s="21"/>
      <c r="J10" s="30"/>
      <c r="K10" s="6"/>
      <c r="L10" s="6"/>
      <c r="M10" s="6"/>
      <c r="N10" s="6"/>
      <c r="O10" s="6"/>
      <c r="P10" s="6"/>
      <c r="Q10" s="6"/>
      <c r="R10" s="6"/>
      <c r="S10" s="6"/>
      <c r="T10" s="6"/>
      <c r="U10" s="6"/>
      <c r="V10" s="6"/>
      <c r="W10" s="6"/>
      <c r="X10" s="6"/>
      <c r="Y10" s="6"/>
      <c r="Z10" s="6"/>
    </row>
    <row r="11" ht="24.0" customHeight="1">
      <c r="A11" s="24"/>
      <c r="B11" s="25" t="s">
        <v>10</v>
      </c>
      <c r="C11" s="21"/>
      <c r="D11" s="31" t="s">
        <v>11</v>
      </c>
      <c r="E11" s="20"/>
      <c r="F11" s="20"/>
      <c r="G11" s="21"/>
      <c r="H11" s="26" t="s">
        <v>12</v>
      </c>
      <c r="I11" s="26" t="s">
        <v>13</v>
      </c>
      <c r="J11" s="27"/>
      <c r="K11" s="6"/>
      <c r="L11" s="6"/>
      <c r="M11" s="6"/>
      <c r="N11" s="6"/>
      <c r="O11" s="6"/>
      <c r="P11" s="6"/>
      <c r="Q11" s="6"/>
      <c r="R11" s="6"/>
      <c r="S11" s="6"/>
      <c r="T11" s="6"/>
      <c r="U11" s="6"/>
      <c r="V11" s="6"/>
      <c r="W11" s="6"/>
      <c r="X11" s="6"/>
      <c r="Y11" s="6"/>
      <c r="Z11" s="6"/>
    </row>
    <row r="12" ht="75.0" customHeight="1">
      <c r="A12" s="32"/>
      <c r="B12" s="33" t="s">
        <v>14</v>
      </c>
      <c r="C12" s="34"/>
      <c r="D12" s="33" t="s">
        <v>15</v>
      </c>
      <c r="E12" s="34"/>
      <c r="F12" s="34"/>
      <c r="G12" s="34"/>
      <c r="H12" s="35" t="s">
        <v>16</v>
      </c>
      <c r="I12" s="36">
        <v>7500000.0</v>
      </c>
      <c r="J12" s="37"/>
      <c r="K12" s="6"/>
      <c r="L12" s="6"/>
      <c r="M12" s="6"/>
      <c r="N12" s="6"/>
      <c r="O12" s="6"/>
      <c r="P12" s="6"/>
      <c r="Q12" s="6"/>
      <c r="R12" s="6"/>
      <c r="S12" s="6"/>
      <c r="T12" s="6"/>
      <c r="U12" s="6"/>
      <c r="V12" s="6"/>
      <c r="W12" s="6"/>
      <c r="X12" s="6"/>
      <c r="Y12" s="6"/>
      <c r="Z12" s="6"/>
    </row>
    <row r="13" ht="75.0" customHeight="1">
      <c r="A13" s="9"/>
      <c r="B13" s="33" t="s">
        <v>17</v>
      </c>
      <c r="C13" s="34"/>
      <c r="D13" s="33" t="s">
        <v>18</v>
      </c>
      <c r="E13" s="34"/>
      <c r="F13" s="34"/>
      <c r="G13" s="34"/>
      <c r="H13" s="35" t="s">
        <v>16</v>
      </c>
      <c r="I13" s="36">
        <v>1.25E7</v>
      </c>
      <c r="J13" s="37"/>
      <c r="K13" s="6"/>
      <c r="L13" s="6"/>
      <c r="M13" s="6"/>
      <c r="N13" s="6"/>
      <c r="O13" s="6"/>
      <c r="P13" s="6"/>
      <c r="Q13" s="6"/>
      <c r="R13" s="6"/>
      <c r="S13" s="6"/>
      <c r="T13" s="6"/>
      <c r="U13" s="6"/>
      <c r="V13" s="6"/>
      <c r="W13" s="6"/>
      <c r="X13" s="6"/>
      <c r="Y13" s="6"/>
      <c r="Z13" s="6"/>
    </row>
    <row r="14" ht="104.25" customHeight="1">
      <c r="A14" s="17"/>
      <c r="B14" s="33" t="s">
        <v>19</v>
      </c>
      <c r="C14" s="34"/>
      <c r="D14" s="33" t="s">
        <v>20</v>
      </c>
      <c r="E14" s="34"/>
      <c r="F14" s="34"/>
      <c r="G14" s="34"/>
      <c r="H14" s="35" t="s">
        <v>16</v>
      </c>
      <c r="I14" s="36">
        <v>5000000.0</v>
      </c>
      <c r="J14" s="38"/>
      <c r="K14" s="6"/>
      <c r="L14" s="6"/>
      <c r="M14" s="6"/>
      <c r="N14" s="6"/>
      <c r="O14" s="6"/>
      <c r="P14" s="6"/>
      <c r="Q14" s="6"/>
      <c r="R14" s="6"/>
      <c r="S14" s="6"/>
      <c r="T14" s="6"/>
      <c r="U14" s="6"/>
      <c r="V14" s="6"/>
      <c r="W14" s="6"/>
      <c r="X14" s="6"/>
      <c r="Y14" s="6"/>
      <c r="Z14" s="6"/>
    </row>
    <row r="15">
      <c r="B15" s="39" t="s">
        <v>21</v>
      </c>
      <c r="D15" s="39" t="s">
        <v>22</v>
      </c>
      <c r="H15" s="39" t="s">
        <v>23</v>
      </c>
      <c r="I15" s="40">
        <v>3.5E7</v>
      </c>
    </row>
    <row r="16" ht="24.0" customHeight="1">
      <c r="B16" s="41" t="s">
        <v>24</v>
      </c>
      <c r="I16" s="42">
        <f>I12+I13+I14</f>
        <v>25000000</v>
      </c>
    </row>
    <row r="17" ht="24.0" customHeight="1">
      <c r="B17" s="41" t="s">
        <v>25</v>
      </c>
      <c r="I17" s="42">
        <f>I16*12</f>
        <v>300000000</v>
      </c>
    </row>
    <row r="18" ht="24.0" customHeight="1">
      <c r="B18" s="43" t="s">
        <v>26</v>
      </c>
      <c r="I18" s="44">
        <f>I15</f>
        <v>35000000</v>
      </c>
    </row>
    <row r="19" ht="24.0" customHeight="1">
      <c r="B19" s="41" t="s">
        <v>27</v>
      </c>
      <c r="I19" s="42">
        <f>I17+I18</f>
        <v>335000000</v>
      </c>
    </row>
    <row r="20" ht="24.0" customHeight="1">
      <c r="B20" s="45" t="s">
        <v>28</v>
      </c>
      <c r="I20" s="46">
        <f>I19*-0.1</f>
        <v>-33500000</v>
      </c>
    </row>
    <row r="21" ht="30.0" customHeight="1">
      <c r="B21" s="47" t="s">
        <v>29</v>
      </c>
      <c r="I21" s="48">
        <f>I19+I20</f>
        <v>301500000</v>
      </c>
    </row>
    <row r="22" ht="30.0" customHeight="1">
      <c r="B22" s="49" t="s">
        <v>30</v>
      </c>
      <c r="I22" s="50">
        <f>(I21-I18)/12</f>
        <v>22208333.33</v>
      </c>
    </row>
    <row r="23" ht="24.0" customHeight="1">
      <c r="A23" s="24"/>
      <c r="B23" s="51" t="s">
        <v>31</v>
      </c>
      <c r="C23" s="51"/>
      <c r="D23" s="51"/>
      <c r="E23" s="51"/>
      <c r="F23" s="51"/>
      <c r="G23" s="51"/>
      <c r="H23" s="51"/>
      <c r="I23" s="51"/>
      <c r="J23" s="52"/>
      <c r="K23" s="6"/>
      <c r="L23" s="6"/>
      <c r="M23" s="6"/>
      <c r="N23" s="6"/>
      <c r="O23" s="6"/>
      <c r="P23" s="6"/>
      <c r="Q23" s="6"/>
      <c r="R23" s="6"/>
      <c r="S23" s="6"/>
      <c r="T23" s="6"/>
      <c r="U23" s="6"/>
      <c r="V23" s="6"/>
      <c r="W23" s="6"/>
      <c r="X23" s="6"/>
      <c r="Y23" s="6"/>
      <c r="Z23" s="6"/>
    </row>
    <row r="24" ht="24.0" customHeight="1">
      <c r="A24" s="24"/>
      <c r="B24" s="53"/>
      <c r="C24" s="20"/>
      <c r="D24" s="20"/>
      <c r="E24" s="20"/>
      <c r="F24" s="20"/>
      <c r="G24" s="20"/>
      <c r="H24" s="20"/>
      <c r="I24" s="21"/>
      <c r="J24" s="52"/>
      <c r="K24" s="6"/>
      <c r="L24" s="6"/>
      <c r="M24" s="6"/>
      <c r="N24" s="6"/>
      <c r="O24" s="6"/>
      <c r="P24" s="6"/>
      <c r="Q24" s="6"/>
      <c r="R24" s="6"/>
      <c r="S24" s="6"/>
      <c r="T24" s="6"/>
      <c r="U24" s="6"/>
      <c r="V24" s="6"/>
      <c r="W24" s="6"/>
      <c r="X24" s="6"/>
      <c r="Y24" s="6"/>
      <c r="Z24" s="6"/>
    </row>
    <row r="25" ht="15.75" customHeight="1">
      <c r="A25" s="24"/>
      <c r="B25" s="53"/>
      <c r="C25" s="20"/>
      <c r="D25" s="20"/>
      <c r="E25" s="20"/>
      <c r="F25" s="20"/>
      <c r="G25" s="20"/>
      <c r="H25" s="20"/>
      <c r="I25" s="21"/>
      <c r="J25" s="52"/>
      <c r="K25" s="6"/>
      <c r="L25" s="6"/>
      <c r="M25" s="6"/>
      <c r="N25" s="6"/>
      <c r="O25" s="6"/>
      <c r="P25" s="6"/>
      <c r="Q25" s="6"/>
      <c r="R25" s="6"/>
      <c r="S25" s="6"/>
      <c r="T25" s="6"/>
      <c r="U25" s="6"/>
      <c r="V25" s="6"/>
      <c r="W25" s="6"/>
      <c r="X25" s="6"/>
      <c r="Y25" s="6"/>
      <c r="Z25" s="6"/>
    </row>
    <row r="26" ht="24.0" customHeight="1">
      <c r="A26" s="24"/>
      <c r="B26" s="51"/>
      <c r="C26" s="51"/>
      <c r="D26" s="51"/>
      <c r="E26" s="51"/>
      <c r="F26" s="51"/>
      <c r="G26" s="51"/>
      <c r="H26" s="51"/>
      <c r="I26" s="51"/>
      <c r="J26" s="52"/>
      <c r="K26" s="6"/>
      <c r="L26" s="6"/>
      <c r="M26" s="6"/>
      <c r="N26" s="6"/>
      <c r="O26" s="6"/>
      <c r="P26" s="6"/>
      <c r="Q26" s="6"/>
      <c r="R26" s="6"/>
      <c r="S26" s="6"/>
      <c r="T26" s="6"/>
      <c r="U26" s="6"/>
      <c r="V26" s="6"/>
      <c r="W26" s="6"/>
      <c r="X26" s="6"/>
      <c r="Y26" s="6"/>
      <c r="Z26" s="6"/>
    </row>
    <row r="27" ht="15.75" customHeight="1">
      <c r="A27" s="24"/>
      <c r="B27" s="51"/>
      <c r="C27" s="51"/>
      <c r="D27" s="51"/>
      <c r="E27" s="51"/>
      <c r="F27" s="51"/>
      <c r="G27" s="51"/>
      <c r="H27" s="51"/>
      <c r="I27" s="51"/>
      <c r="J27" s="52"/>
      <c r="K27" s="6"/>
      <c r="L27" s="6"/>
      <c r="M27" s="6"/>
      <c r="N27" s="6"/>
      <c r="O27" s="6"/>
      <c r="P27" s="6"/>
      <c r="Q27" s="6"/>
      <c r="R27" s="6"/>
      <c r="S27" s="6"/>
      <c r="T27" s="6"/>
      <c r="U27" s="6"/>
      <c r="V27" s="6"/>
      <c r="W27" s="6"/>
      <c r="X27" s="6"/>
      <c r="Y27" s="6"/>
      <c r="Z27" s="6"/>
    </row>
    <row r="28" ht="15.75" customHeight="1">
      <c r="A28" s="24"/>
      <c r="B28" s="51"/>
      <c r="C28" s="51"/>
      <c r="D28" s="51"/>
      <c r="E28" s="51"/>
      <c r="F28" s="51"/>
      <c r="G28" s="51"/>
      <c r="H28" s="51"/>
      <c r="I28" s="51"/>
      <c r="J28" s="52"/>
      <c r="K28" s="6"/>
      <c r="L28" s="6"/>
      <c r="M28" s="6"/>
      <c r="N28" s="6"/>
      <c r="O28" s="6"/>
      <c r="P28" s="6"/>
      <c r="Q28" s="6"/>
      <c r="R28" s="6"/>
      <c r="S28" s="6"/>
      <c r="T28" s="6"/>
      <c r="U28" s="6"/>
      <c r="V28" s="6"/>
      <c r="W28" s="6"/>
      <c r="X28" s="6"/>
      <c r="Y28" s="6"/>
      <c r="Z28" s="6"/>
    </row>
    <row r="29" ht="15.75" customHeight="1">
      <c r="A29" s="24"/>
      <c r="B29" s="53"/>
      <c r="C29" s="20"/>
      <c r="D29" s="20"/>
      <c r="E29" s="20"/>
      <c r="F29" s="20"/>
      <c r="G29" s="20"/>
      <c r="H29" s="20"/>
      <c r="I29" s="21"/>
      <c r="J29" s="52"/>
      <c r="K29" s="6"/>
      <c r="L29" s="6"/>
      <c r="M29" s="6"/>
      <c r="N29" s="6"/>
      <c r="O29" s="6"/>
      <c r="P29" s="6"/>
      <c r="Q29" s="6"/>
      <c r="R29" s="6"/>
      <c r="S29" s="6"/>
      <c r="T29" s="6"/>
      <c r="U29" s="6"/>
      <c r="V29" s="6"/>
      <c r="W29" s="6"/>
      <c r="X29" s="6"/>
      <c r="Y29" s="6"/>
      <c r="Z29" s="6"/>
    </row>
    <row r="30" ht="24.0" customHeight="1">
      <c r="A30" s="24"/>
      <c r="B30" s="51"/>
      <c r="C30" s="51"/>
      <c r="D30" s="51"/>
      <c r="E30" s="51"/>
      <c r="F30" s="51"/>
      <c r="G30" s="51"/>
      <c r="H30" s="51"/>
      <c r="I30" s="51"/>
      <c r="J30" s="52"/>
      <c r="K30" s="6"/>
      <c r="L30" s="6"/>
      <c r="M30" s="6"/>
      <c r="N30" s="6"/>
      <c r="O30" s="6"/>
      <c r="P30" s="6"/>
      <c r="Q30" s="6"/>
      <c r="R30" s="6"/>
      <c r="S30" s="6"/>
      <c r="T30" s="6"/>
      <c r="U30" s="6"/>
      <c r="V30" s="6"/>
      <c r="W30" s="6"/>
      <c r="X30" s="6"/>
      <c r="Y30" s="6"/>
      <c r="Z30" s="6"/>
    </row>
    <row r="31" ht="24.0" customHeight="1">
      <c r="A31" s="24"/>
      <c r="B31" s="51"/>
      <c r="C31" s="51"/>
      <c r="D31" s="51"/>
      <c r="E31" s="51"/>
      <c r="F31" s="51"/>
      <c r="G31" s="54"/>
      <c r="H31" s="55"/>
      <c r="I31" s="56"/>
      <c r="J31" s="52"/>
      <c r="K31" s="6"/>
      <c r="L31" s="6"/>
      <c r="M31" s="6"/>
      <c r="N31" s="6"/>
      <c r="O31" s="6"/>
      <c r="P31" s="6"/>
      <c r="Q31" s="6"/>
      <c r="R31" s="6"/>
      <c r="S31" s="6"/>
      <c r="T31" s="6"/>
      <c r="U31" s="6"/>
      <c r="V31" s="6"/>
      <c r="W31" s="6"/>
      <c r="X31" s="6"/>
      <c r="Y31" s="6"/>
      <c r="Z31" s="6"/>
    </row>
    <row r="32">
      <c r="A32" s="24"/>
      <c r="B32" s="25" t="s">
        <v>32</v>
      </c>
      <c r="C32" s="20"/>
      <c r="D32" s="20"/>
      <c r="E32" s="20"/>
      <c r="F32" s="20"/>
      <c r="G32" s="20"/>
      <c r="H32" s="20"/>
      <c r="I32" s="21"/>
      <c r="J32" s="52"/>
      <c r="K32" s="6"/>
      <c r="L32" s="6"/>
      <c r="M32" s="6"/>
      <c r="N32" s="6"/>
      <c r="O32" s="6"/>
      <c r="P32" s="6"/>
      <c r="Q32" s="6"/>
      <c r="R32" s="6"/>
      <c r="S32" s="6"/>
      <c r="T32" s="6"/>
      <c r="U32" s="6"/>
      <c r="V32" s="6"/>
      <c r="W32" s="6"/>
      <c r="X32" s="6"/>
      <c r="Y32" s="6"/>
      <c r="Z32" s="6"/>
    </row>
    <row r="33">
      <c r="A33" s="28"/>
      <c r="B33" s="57" t="s">
        <v>33</v>
      </c>
      <c r="J33" s="30"/>
      <c r="K33" s="6"/>
      <c r="L33" s="6"/>
      <c r="M33" s="6"/>
      <c r="N33" s="6"/>
      <c r="O33" s="6"/>
      <c r="P33" s="6"/>
      <c r="Q33" s="6"/>
      <c r="R33" s="6"/>
      <c r="S33" s="6"/>
      <c r="T33" s="6"/>
      <c r="U33" s="6"/>
      <c r="V33" s="6"/>
      <c r="W33" s="6"/>
      <c r="X33" s="6"/>
      <c r="Y33" s="6"/>
      <c r="Z33" s="6"/>
    </row>
    <row r="34" ht="15.75" customHeight="1">
      <c r="A34" s="7"/>
      <c r="B34" s="8"/>
      <c r="C34" s="8"/>
      <c r="D34" s="8"/>
      <c r="E34" s="8"/>
      <c r="F34" s="8"/>
      <c r="G34" s="8"/>
      <c r="H34" s="8"/>
      <c r="I34" s="8"/>
      <c r="J34" s="23"/>
      <c r="K34" s="6"/>
      <c r="L34" s="6"/>
      <c r="M34" s="6"/>
      <c r="N34" s="6"/>
      <c r="O34" s="6"/>
      <c r="P34" s="6"/>
      <c r="Q34" s="6"/>
      <c r="R34" s="6"/>
      <c r="S34" s="6"/>
      <c r="T34" s="6"/>
      <c r="U34" s="6"/>
      <c r="V34" s="6"/>
      <c r="W34" s="6"/>
      <c r="X34" s="6"/>
      <c r="Y34" s="6"/>
      <c r="Z34" s="6"/>
    </row>
    <row r="35" ht="15.75" customHeight="1">
      <c r="A35" s="58"/>
      <c r="B35" s="59"/>
      <c r="C35" s="59"/>
      <c r="D35" s="59"/>
      <c r="E35" s="59"/>
      <c r="F35" s="59"/>
      <c r="G35" s="59"/>
      <c r="H35" s="59"/>
      <c r="I35" s="59"/>
      <c r="J35" s="60"/>
      <c r="K35" s="6"/>
      <c r="L35" s="6"/>
      <c r="M35" s="6"/>
      <c r="N35" s="6"/>
      <c r="O35" s="6"/>
      <c r="P35" s="6"/>
      <c r="Q35" s="6"/>
      <c r="R35" s="6"/>
      <c r="S35" s="6"/>
      <c r="T35" s="6"/>
      <c r="U35" s="6"/>
      <c r="V35" s="6"/>
      <c r="W35" s="6"/>
      <c r="X35" s="6"/>
      <c r="Y35" s="6"/>
      <c r="Z35" s="6"/>
    </row>
    <row r="36" ht="15.75" customHeight="1">
      <c r="A36" s="58"/>
      <c r="B36" s="59"/>
      <c r="C36" s="59"/>
      <c r="D36" s="59"/>
      <c r="E36" s="59"/>
      <c r="F36" s="59"/>
      <c r="G36" s="59"/>
      <c r="H36" s="59"/>
      <c r="I36" s="59"/>
      <c r="J36" s="60"/>
      <c r="K36" s="6"/>
      <c r="L36" s="6"/>
      <c r="M36" s="6"/>
      <c r="N36" s="6"/>
      <c r="O36" s="6"/>
      <c r="P36" s="6"/>
      <c r="Q36" s="6"/>
      <c r="R36" s="6"/>
      <c r="S36" s="6"/>
      <c r="T36" s="6"/>
      <c r="U36" s="6"/>
      <c r="V36" s="6"/>
      <c r="W36" s="6"/>
      <c r="X36" s="6"/>
      <c r="Y36" s="6"/>
      <c r="Z36" s="6"/>
    </row>
    <row r="37" ht="15.75" customHeight="1">
      <c r="A37" s="58"/>
      <c r="B37" s="59" t="s">
        <v>34</v>
      </c>
      <c r="J37" s="60"/>
      <c r="K37" s="6"/>
      <c r="L37" s="6"/>
      <c r="M37" s="6"/>
      <c r="N37" s="6"/>
      <c r="O37" s="6"/>
      <c r="P37" s="6"/>
      <c r="Q37" s="6"/>
      <c r="R37" s="6"/>
      <c r="S37" s="6"/>
      <c r="T37" s="6"/>
      <c r="U37" s="6"/>
      <c r="V37" s="6"/>
      <c r="W37" s="6"/>
      <c r="X37" s="6"/>
      <c r="Y37" s="6"/>
      <c r="Z37" s="6"/>
    </row>
    <row r="38" ht="15.75" customHeight="1">
      <c r="A38" s="61"/>
      <c r="B38" s="61"/>
      <c r="C38" s="61"/>
      <c r="D38" s="61"/>
      <c r="E38" s="61"/>
      <c r="F38" s="61"/>
      <c r="G38" s="62"/>
      <c r="H38" s="62"/>
      <c r="I38" s="62"/>
      <c r="J38" s="62"/>
      <c r="K38" s="6"/>
      <c r="L38" s="6"/>
      <c r="M38" s="6"/>
      <c r="N38" s="6"/>
      <c r="O38" s="6"/>
      <c r="P38" s="6"/>
      <c r="Q38" s="6"/>
      <c r="R38" s="6"/>
      <c r="S38" s="6"/>
      <c r="T38" s="6"/>
      <c r="U38" s="6"/>
      <c r="V38" s="6"/>
      <c r="W38" s="6"/>
      <c r="X38" s="6"/>
      <c r="Y38" s="6"/>
      <c r="Z38" s="6"/>
    </row>
    <row r="39" ht="15.75" customHeight="1">
      <c r="A39" s="61"/>
      <c r="B39" s="61"/>
      <c r="C39" s="61"/>
      <c r="D39" s="61"/>
      <c r="E39" s="61"/>
      <c r="F39" s="63"/>
      <c r="G39" s="64"/>
      <c r="H39" s="65"/>
      <c r="I39" s="66"/>
      <c r="J39" s="62"/>
      <c r="K39" s="6"/>
      <c r="L39" s="6"/>
      <c r="M39" s="6"/>
      <c r="N39" s="6"/>
      <c r="O39" s="6"/>
      <c r="P39" s="6"/>
      <c r="Q39" s="6"/>
      <c r="R39" s="6"/>
      <c r="S39" s="6"/>
      <c r="T39" s="6"/>
      <c r="U39" s="6"/>
      <c r="V39" s="6"/>
      <c r="W39" s="6"/>
      <c r="X39" s="6"/>
      <c r="Y39" s="6"/>
      <c r="Z39" s="6"/>
    </row>
    <row r="40" ht="15.75" customHeight="1">
      <c r="A40" s="61"/>
      <c r="B40" s="61"/>
      <c r="C40" s="61"/>
      <c r="D40" s="61"/>
      <c r="E40" s="61"/>
      <c r="F40" s="67"/>
      <c r="I40" s="68"/>
      <c r="J40" s="62"/>
      <c r="K40" s="6"/>
      <c r="L40" s="6"/>
      <c r="M40" s="6"/>
      <c r="N40" s="6"/>
      <c r="O40" s="6"/>
      <c r="P40" s="6"/>
      <c r="Q40" s="6"/>
      <c r="R40" s="6"/>
      <c r="S40" s="6"/>
      <c r="T40" s="6"/>
      <c r="U40" s="6"/>
      <c r="V40" s="6"/>
      <c r="W40" s="6"/>
      <c r="X40" s="6"/>
      <c r="Y40" s="6"/>
      <c r="Z40" s="6"/>
    </row>
    <row r="41" ht="15.75" customHeight="1">
      <c r="A41" s="3"/>
      <c r="B41" s="3"/>
      <c r="C41" s="3"/>
      <c r="D41" s="3"/>
      <c r="E41" s="6"/>
      <c r="F41" s="69"/>
      <c r="G41" s="70"/>
      <c r="H41" s="71"/>
      <c r="I41" s="72"/>
      <c r="J41" s="3"/>
      <c r="K41" s="6"/>
      <c r="L41" s="6"/>
      <c r="M41" s="6"/>
      <c r="N41" s="6"/>
      <c r="O41" s="6"/>
      <c r="P41" s="6"/>
      <c r="Q41" s="6"/>
      <c r="R41" s="6"/>
      <c r="S41" s="6"/>
      <c r="T41" s="6"/>
      <c r="U41" s="6"/>
      <c r="V41" s="6"/>
      <c r="W41" s="6"/>
      <c r="X41" s="6"/>
      <c r="Y41" s="6"/>
      <c r="Z41" s="6"/>
    </row>
    <row r="42" ht="15.75" customHeight="1">
      <c r="A42" s="3"/>
      <c r="B42" s="3"/>
      <c r="C42" s="3"/>
      <c r="D42" s="3"/>
      <c r="H42" s="3"/>
      <c r="I42" s="3"/>
      <c r="J42" s="3"/>
      <c r="K42" s="6"/>
      <c r="L42" s="6"/>
      <c r="M42" s="6"/>
      <c r="N42" s="6"/>
      <c r="O42" s="6"/>
      <c r="P42" s="6"/>
      <c r="Q42" s="6"/>
      <c r="R42" s="6"/>
      <c r="S42" s="6"/>
      <c r="T42" s="6"/>
      <c r="U42" s="6"/>
      <c r="V42" s="6"/>
      <c r="W42" s="6"/>
      <c r="X42" s="6"/>
      <c r="Y42" s="6"/>
      <c r="Z42" s="6"/>
    </row>
    <row r="43" ht="15.75" customHeight="1">
      <c r="A43" s="3"/>
      <c r="B43" s="3"/>
      <c r="C43" s="3"/>
      <c r="D43" s="3"/>
      <c r="H43" s="3"/>
      <c r="I43" s="3"/>
      <c r="J43" s="3"/>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1:C2"/>
    <mergeCell ref="H1:I2"/>
    <mergeCell ref="B4:C4"/>
    <mergeCell ref="B5:C5"/>
    <mergeCell ref="B6:C6"/>
    <mergeCell ref="B7:I7"/>
    <mergeCell ref="B9:E9"/>
    <mergeCell ref="B10:I10"/>
    <mergeCell ref="B11:C11"/>
    <mergeCell ref="D11:G11"/>
    <mergeCell ref="B12:C12"/>
    <mergeCell ref="D12:G12"/>
    <mergeCell ref="B13:C13"/>
    <mergeCell ref="D13:G13"/>
    <mergeCell ref="B32:I32"/>
    <mergeCell ref="B33:I33"/>
    <mergeCell ref="B14:C14"/>
    <mergeCell ref="D14:G14"/>
    <mergeCell ref="B15:C15"/>
    <mergeCell ref="D15:G15"/>
    <mergeCell ref="B24:I24"/>
    <mergeCell ref="B25:I25"/>
    <mergeCell ref="B29:I29"/>
  </mergeCells>
  <printOptions horizontalCentered="1"/>
  <pageMargins bottom="0.75" footer="0.0" header="0.0" left="0.25" right="0.25" top="0.75"/>
  <pageSetup fitToHeight="0" orientation="portrait"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0.0"/>
    <col customWidth="1" min="2" max="2" width="35.0"/>
    <col customWidth="1" min="3" max="3" width="20.0"/>
    <col customWidth="1" min="4" max="4" width="12.0"/>
    <col customWidth="1" min="5" max="5" width="18.0"/>
    <col customWidth="1" min="6" max="6" width="14.43"/>
    <col customWidth="1" min="7" max="7" width="22.43"/>
  </cols>
  <sheetData>
    <row r="1">
      <c r="A1" s="6" t="s">
        <v>35</v>
      </c>
      <c r="B1" s="73"/>
      <c r="G1" s="6" t="s">
        <v>36</v>
      </c>
      <c r="H1" s="74">
        <v>62000.0</v>
      </c>
    </row>
    <row r="2">
      <c r="A2" s="75" t="s">
        <v>37</v>
      </c>
      <c r="B2" s="73"/>
      <c r="G2" s="6" t="s">
        <v>38</v>
      </c>
      <c r="H2" s="74">
        <v>62000.0</v>
      </c>
    </row>
    <row r="3">
      <c r="A3" s="6" t="s">
        <v>39</v>
      </c>
      <c r="B3" s="73">
        <v>0.06</v>
      </c>
      <c r="C3" s="6" t="s">
        <v>40</v>
      </c>
      <c r="G3" s="6" t="s">
        <v>41</v>
      </c>
      <c r="H3" s="76">
        <f>H2/H1</f>
        <v>1</v>
      </c>
    </row>
    <row r="4">
      <c r="A4" s="6" t="s">
        <v>42</v>
      </c>
      <c r="B4" s="74">
        <v>1.85E10</v>
      </c>
      <c r="H4" s="74"/>
    </row>
    <row r="5">
      <c r="B5" s="74"/>
      <c r="G5" s="6" t="s">
        <v>43</v>
      </c>
      <c r="H5" s="74">
        <v>50400.0</v>
      </c>
    </row>
    <row r="6">
      <c r="A6" s="6" t="s">
        <v>44</v>
      </c>
      <c r="B6" s="74" t="s">
        <v>45</v>
      </c>
      <c r="C6" s="6" t="s">
        <v>39</v>
      </c>
      <c r="D6" s="6" t="s">
        <v>35</v>
      </c>
      <c r="G6" s="6" t="s">
        <v>46</v>
      </c>
      <c r="H6" s="74">
        <v>50400.0</v>
      </c>
    </row>
    <row r="7">
      <c r="A7" s="6" t="s">
        <v>47</v>
      </c>
      <c r="B7" s="74">
        <v>2.961E8</v>
      </c>
      <c r="C7" s="74">
        <f>B4*B3</f>
        <v>1110000000</v>
      </c>
      <c r="D7" s="74">
        <f>C7-B7</f>
        <v>813900000</v>
      </c>
      <c r="H7" s="74"/>
    </row>
    <row r="8">
      <c r="A8" s="6" t="s">
        <v>48</v>
      </c>
      <c r="B8" s="74">
        <v>9.4945E8</v>
      </c>
    </row>
    <row r="9">
      <c r="A9" s="6" t="s">
        <v>49</v>
      </c>
      <c r="B9" s="74">
        <v>6.67167E8</v>
      </c>
      <c r="G9" s="6" t="s">
        <v>50</v>
      </c>
      <c r="H9" s="6" t="s">
        <v>51</v>
      </c>
      <c r="I9" s="6" t="s">
        <v>52</v>
      </c>
    </row>
    <row r="10">
      <c r="G10" s="6" t="s">
        <v>53</v>
      </c>
      <c r="H10" s="74">
        <v>15120.0</v>
      </c>
      <c r="I10" s="6">
        <v>40.0</v>
      </c>
      <c r="J10" s="6">
        <v>150.0</v>
      </c>
      <c r="K10" s="74">
        <f t="shared" ref="K10:K11" si="1">J10*I10*H10</f>
        <v>90720000</v>
      </c>
    </row>
    <row r="11">
      <c r="A11" s="6" t="s">
        <v>54</v>
      </c>
      <c r="G11" s="6" t="s">
        <v>55</v>
      </c>
      <c r="H11" s="74">
        <v>35280.0</v>
      </c>
      <c r="I11" s="6">
        <v>10.0</v>
      </c>
      <c r="J11" s="6">
        <v>150.0</v>
      </c>
      <c r="K11" s="74">
        <f t="shared" si="1"/>
        <v>52920000</v>
      </c>
    </row>
    <row r="12">
      <c r="A12" s="6" t="s">
        <v>56</v>
      </c>
    </row>
    <row r="14">
      <c r="B14" s="74"/>
    </row>
    <row r="15">
      <c r="A15" s="6" t="s">
        <v>57</v>
      </c>
      <c r="B15" s="74"/>
    </row>
    <row r="16">
      <c r="A16" s="6" t="s">
        <v>56</v>
      </c>
      <c r="B16" s="74"/>
    </row>
    <row r="20">
      <c r="A20" s="77" t="s">
        <v>58</v>
      </c>
    </row>
    <row r="21" ht="15.75" customHeight="1">
      <c r="A21" s="78" t="s">
        <v>59</v>
      </c>
      <c r="B21" s="78" t="s">
        <v>60</v>
      </c>
      <c r="D21" s="78" t="s">
        <v>61</v>
      </c>
      <c r="E21" s="78" t="s">
        <v>62</v>
      </c>
    </row>
    <row r="22" ht="15.75" customHeight="1">
      <c r="A22" s="43" t="s">
        <v>63</v>
      </c>
      <c r="B22" s="43" t="s">
        <v>64</v>
      </c>
      <c r="D22" s="43" t="s">
        <v>65</v>
      </c>
      <c r="E22" s="43" t="s">
        <v>66</v>
      </c>
    </row>
    <row r="23" ht="15.75" customHeight="1">
      <c r="A23" s="79" t="s">
        <v>67</v>
      </c>
      <c r="B23" s="79" t="s">
        <v>68</v>
      </c>
      <c r="D23" s="79" t="s">
        <v>65</v>
      </c>
      <c r="E23" s="79" t="s">
        <v>66</v>
      </c>
    </row>
    <row r="24" ht="15.75" customHeight="1">
      <c r="A24" s="43" t="s">
        <v>69</v>
      </c>
      <c r="B24" s="43" t="s">
        <v>70</v>
      </c>
      <c r="D24" s="43" t="s">
        <v>65</v>
      </c>
      <c r="E24" s="43" t="s">
        <v>71</v>
      </c>
    </row>
    <row r="25" ht="15.75" customHeight="1">
      <c r="A25" s="79" t="s">
        <v>72</v>
      </c>
      <c r="B25" s="79" t="s">
        <v>73</v>
      </c>
      <c r="D25" s="79" t="s">
        <v>74</v>
      </c>
      <c r="E25" s="79" t="s">
        <v>75</v>
      </c>
    </row>
    <row r="26" ht="15.75" customHeight="1">
      <c r="A26" s="43" t="s">
        <v>76</v>
      </c>
      <c r="B26" s="43" t="s">
        <v>77</v>
      </c>
      <c r="D26" s="43" t="s">
        <v>78</v>
      </c>
      <c r="E26" s="43" t="s">
        <v>66</v>
      </c>
    </row>
    <row r="27" ht="15.75" customHeight="1">
      <c r="A27" s="79" t="s">
        <v>79</v>
      </c>
      <c r="B27" s="79" t="s">
        <v>80</v>
      </c>
      <c r="D27" s="79" t="s">
        <v>81</v>
      </c>
      <c r="E27" s="79" t="s">
        <v>75</v>
      </c>
    </row>
    <row r="28" ht="15.75" customHeight="1">
      <c r="B28" s="74"/>
    </row>
    <row r="29" ht="15.75" customHeight="1">
      <c r="A29" s="41" t="s">
        <v>82</v>
      </c>
      <c r="B29" s="80" t="s">
        <v>83</v>
      </c>
    </row>
    <row r="30" ht="15.75" customHeight="1">
      <c r="A30" s="81" t="s">
        <v>84</v>
      </c>
      <c r="B30" s="82" t="s">
        <v>85</v>
      </c>
    </row>
    <row r="31" ht="15.75" customHeight="1">
      <c r="B31" s="74"/>
    </row>
    <row r="32" ht="15.75" customHeight="1">
      <c r="B32" s="74"/>
    </row>
    <row r="33" ht="15.75" customHeight="1">
      <c r="B33" s="74"/>
    </row>
    <row r="34" ht="15.75" customHeight="1">
      <c r="B34" s="74"/>
    </row>
    <row r="35" ht="15.75" customHeight="1">
      <c r="B35" s="74"/>
    </row>
    <row r="36" ht="15.75" customHeight="1">
      <c r="B36" s="74"/>
    </row>
    <row r="37" ht="15.75" customHeight="1">
      <c r="B37" s="74"/>
    </row>
    <row r="38" ht="15.75" customHeight="1">
      <c r="B38" s="74"/>
    </row>
    <row r="39" ht="15.75" customHeight="1">
      <c r="B39" s="74"/>
    </row>
    <row r="40" ht="15.75" customHeight="1">
      <c r="B40" s="74"/>
    </row>
    <row r="41" ht="15.75" customHeight="1">
      <c r="B41" s="74"/>
    </row>
    <row r="42" ht="15.75" customHeight="1">
      <c r="B42" s="74"/>
    </row>
    <row r="43" ht="15.75" customHeight="1">
      <c r="B43" s="74"/>
    </row>
    <row r="44" ht="15.75" customHeight="1">
      <c r="B44" s="74"/>
    </row>
    <row r="45" ht="15.75" customHeight="1">
      <c r="B45" s="74"/>
    </row>
    <row r="46" ht="15.75" customHeight="1">
      <c r="B46" s="74"/>
    </row>
    <row r="47" ht="15.75" customHeight="1">
      <c r="B47" s="74"/>
    </row>
    <row r="48" ht="15.75" customHeight="1">
      <c r="B48" s="74"/>
    </row>
    <row r="49" ht="15.75" customHeight="1">
      <c r="B49" s="74"/>
    </row>
    <row r="50" ht="15.75" customHeight="1">
      <c r="B50" s="74"/>
    </row>
    <row r="51" ht="15.75" customHeight="1">
      <c r="B51" s="74"/>
    </row>
    <row r="52" ht="15.75" customHeight="1">
      <c r="B52" s="74"/>
    </row>
    <row r="53" ht="15.75" customHeight="1">
      <c r="B53" s="74"/>
    </row>
    <row r="54" ht="15.75" customHeight="1">
      <c r="B54" s="74"/>
    </row>
    <row r="55" ht="15.75" customHeight="1">
      <c r="B55" s="74"/>
    </row>
    <row r="56" ht="15.75" customHeight="1">
      <c r="B56" s="74"/>
    </row>
    <row r="57" ht="15.75" customHeight="1">
      <c r="B57" s="74"/>
    </row>
    <row r="58" ht="15.75" customHeight="1">
      <c r="B58" s="74"/>
    </row>
    <row r="59" ht="15.75" customHeight="1">
      <c r="B59" s="74"/>
    </row>
    <row r="60" ht="15.75" customHeight="1">
      <c r="B60" s="74"/>
    </row>
    <row r="61" ht="15.75" customHeight="1">
      <c r="B61" s="74"/>
    </row>
    <row r="62" ht="15.75" customHeight="1">
      <c r="B62" s="74"/>
    </row>
    <row r="63" ht="15.75" customHeight="1">
      <c r="B63" s="74"/>
    </row>
    <row r="64" ht="15.75" customHeight="1">
      <c r="B64" s="74"/>
    </row>
    <row r="65" ht="15.75" customHeight="1">
      <c r="B65" s="74"/>
    </row>
    <row r="66" ht="15.75" customHeight="1">
      <c r="B66" s="74"/>
    </row>
    <row r="67" ht="15.75" customHeight="1">
      <c r="B67" s="74"/>
    </row>
    <row r="68" ht="15.75" customHeight="1">
      <c r="B68" s="74"/>
    </row>
    <row r="69" ht="15.75" customHeight="1">
      <c r="B69" s="74"/>
    </row>
    <row r="70" ht="15.75" customHeight="1">
      <c r="B70" s="74"/>
    </row>
    <row r="71" ht="15.75" customHeight="1">
      <c r="B71" s="74"/>
    </row>
    <row r="72" ht="15.75" customHeight="1">
      <c r="B72" s="74"/>
    </row>
    <row r="73" ht="15.75" customHeight="1">
      <c r="B73" s="74"/>
    </row>
    <row r="74" ht="15.75" customHeight="1">
      <c r="B74" s="74"/>
    </row>
    <row r="75" ht="15.75" customHeight="1">
      <c r="B75" s="74"/>
    </row>
    <row r="76" ht="15.75" customHeight="1">
      <c r="B76" s="74"/>
    </row>
    <row r="77" ht="15.75" customHeight="1">
      <c r="B77" s="74"/>
    </row>
    <row r="78" ht="15.75" customHeight="1">
      <c r="B78" s="74"/>
    </row>
    <row r="79" ht="15.75" customHeight="1">
      <c r="B79" s="74"/>
    </row>
    <row r="80" ht="15.75" customHeight="1">
      <c r="B80" s="74"/>
    </row>
    <row r="81" ht="15.75" customHeight="1">
      <c r="B81" s="74"/>
    </row>
    <row r="82" ht="15.75" customHeight="1">
      <c r="B82" s="74"/>
    </row>
    <row r="83" ht="15.75" customHeight="1">
      <c r="B83" s="74"/>
    </row>
    <row r="84" ht="15.75" customHeight="1">
      <c r="B84" s="74"/>
    </row>
    <row r="85" ht="15.75" customHeight="1">
      <c r="B85" s="74"/>
    </row>
    <row r="86" ht="15.75" customHeight="1">
      <c r="B86" s="74"/>
    </row>
    <row r="87" ht="15.75" customHeight="1">
      <c r="B87" s="74"/>
    </row>
    <row r="88" ht="15.75" customHeight="1">
      <c r="B88" s="74"/>
    </row>
    <row r="89" ht="15.75" customHeight="1">
      <c r="B89" s="74"/>
    </row>
    <row r="90" ht="15.75" customHeight="1">
      <c r="B90" s="74"/>
    </row>
    <row r="91" ht="15.75" customHeight="1">
      <c r="B91" s="74"/>
    </row>
    <row r="92" ht="15.75" customHeight="1">
      <c r="B92" s="74"/>
    </row>
    <row r="93" ht="15.75" customHeight="1">
      <c r="B93" s="74"/>
    </row>
    <row r="94" ht="15.75" customHeight="1">
      <c r="B94" s="74"/>
    </row>
    <row r="95" ht="15.75" customHeight="1">
      <c r="B95" s="74"/>
    </row>
    <row r="96" ht="15.75" customHeight="1">
      <c r="B96" s="74"/>
    </row>
    <row r="97" ht="15.75" customHeight="1">
      <c r="B97" s="74"/>
    </row>
    <row r="98" ht="15.75" customHeight="1">
      <c r="B98" s="74"/>
    </row>
    <row r="99" ht="15.75" customHeight="1">
      <c r="B99" s="74"/>
    </row>
    <row r="100" ht="15.75" customHeight="1">
      <c r="B100" s="74"/>
    </row>
    <row r="101" ht="15.75" customHeight="1">
      <c r="B101" s="74"/>
    </row>
    <row r="102" ht="15.75" customHeight="1">
      <c r="B102" s="74"/>
    </row>
    <row r="103" ht="15.75" customHeight="1">
      <c r="B103" s="74"/>
    </row>
    <row r="104" ht="15.75" customHeight="1">
      <c r="B104" s="74"/>
    </row>
    <row r="105" ht="15.75" customHeight="1">
      <c r="B105" s="74"/>
    </row>
    <row r="106" ht="15.75" customHeight="1">
      <c r="B106" s="74"/>
    </row>
    <row r="107" ht="15.75" customHeight="1">
      <c r="B107" s="74"/>
    </row>
    <row r="108" ht="15.75" customHeight="1">
      <c r="B108" s="74"/>
    </row>
    <row r="109" ht="15.75" customHeight="1">
      <c r="B109" s="74"/>
    </row>
    <row r="110" ht="15.75" customHeight="1">
      <c r="B110" s="74"/>
    </row>
    <row r="111" ht="15.75" customHeight="1">
      <c r="B111" s="74"/>
    </row>
    <row r="112" ht="15.75" customHeight="1">
      <c r="B112" s="74"/>
    </row>
    <row r="113" ht="15.75" customHeight="1">
      <c r="B113" s="74"/>
    </row>
    <row r="114" ht="15.75" customHeight="1">
      <c r="B114" s="74"/>
    </row>
    <row r="115" ht="15.75" customHeight="1">
      <c r="B115" s="74"/>
    </row>
    <row r="116" ht="15.75" customHeight="1">
      <c r="B116" s="74"/>
    </row>
    <row r="117" ht="15.75" customHeight="1">
      <c r="B117" s="74"/>
    </row>
    <row r="118" ht="15.75" customHeight="1">
      <c r="B118" s="74"/>
    </row>
    <row r="119" ht="15.75" customHeight="1">
      <c r="B119" s="74"/>
    </row>
    <row r="120" ht="15.75" customHeight="1">
      <c r="B120" s="74"/>
    </row>
    <row r="121" ht="15.75" customHeight="1">
      <c r="B121" s="74"/>
    </row>
    <row r="122" ht="15.75" customHeight="1">
      <c r="B122" s="74"/>
    </row>
    <row r="123" ht="15.75" customHeight="1">
      <c r="B123" s="74"/>
    </row>
    <row r="124" ht="15.75" customHeight="1">
      <c r="B124" s="74"/>
    </row>
    <row r="125" ht="15.75" customHeight="1">
      <c r="B125" s="74"/>
    </row>
    <row r="126" ht="15.75" customHeight="1">
      <c r="B126" s="74"/>
    </row>
    <row r="127" ht="15.75" customHeight="1">
      <c r="B127" s="74"/>
    </row>
    <row r="128" ht="15.75" customHeight="1">
      <c r="B128" s="74"/>
    </row>
    <row r="129" ht="15.75" customHeight="1">
      <c r="B129" s="74"/>
    </row>
    <row r="130" ht="15.75" customHeight="1">
      <c r="B130" s="74"/>
    </row>
    <row r="131" ht="15.75" customHeight="1">
      <c r="B131" s="74"/>
    </row>
    <row r="132" ht="15.75" customHeight="1">
      <c r="B132" s="74"/>
    </row>
    <row r="133" ht="15.75" customHeight="1">
      <c r="B133" s="74"/>
    </row>
    <row r="134" ht="15.75" customHeight="1">
      <c r="B134" s="74"/>
    </row>
    <row r="135" ht="15.75" customHeight="1">
      <c r="B135" s="74"/>
    </row>
    <row r="136" ht="15.75" customHeight="1">
      <c r="B136" s="74"/>
    </row>
    <row r="137" ht="15.75" customHeight="1">
      <c r="B137" s="74"/>
    </row>
    <row r="138" ht="15.75" customHeight="1">
      <c r="B138" s="74"/>
    </row>
    <row r="139" ht="15.75" customHeight="1">
      <c r="B139" s="74"/>
    </row>
    <row r="140" ht="15.75" customHeight="1">
      <c r="B140" s="74"/>
    </row>
    <row r="141" ht="15.75" customHeight="1">
      <c r="B141" s="74"/>
    </row>
    <row r="142" ht="15.75" customHeight="1">
      <c r="B142" s="74"/>
    </row>
    <row r="143" ht="15.75" customHeight="1">
      <c r="B143" s="74"/>
    </row>
    <row r="144" ht="15.75" customHeight="1">
      <c r="B144" s="74"/>
    </row>
    <row r="145" ht="15.75" customHeight="1">
      <c r="B145" s="74"/>
    </row>
    <row r="146" ht="15.75" customHeight="1">
      <c r="B146" s="74"/>
    </row>
    <row r="147" ht="15.75" customHeight="1">
      <c r="B147" s="74"/>
    </row>
    <row r="148" ht="15.75" customHeight="1">
      <c r="B148" s="74"/>
    </row>
    <row r="149" ht="15.75" customHeight="1">
      <c r="B149" s="74"/>
    </row>
    <row r="150" ht="15.75" customHeight="1">
      <c r="B150" s="74"/>
    </row>
    <row r="151" ht="15.75" customHeight="1">
      <c r="B151" s="74"/>
    </row>
    <row r="152" ht="15.75" customHeight="1">
      <c r="B152" s="74"/>
    </row>
    <row r="153" ht="15.75" customHeight="1">
      <c r="B153" s="74"/>
    </row>
    <row r="154" ht="15.75" customHeight="1">
      <c r="B154" s="74"/>
    </row>
    <row r="155" ht="15.75" customHeight="1">
      <c r="B155" s="74"/>
    </row>
    <row r="156" ht="15.75" customHeight="1">
      <c r="B156" s="74"/>
    </row>
    <row r="157" ht="15.75" customHeight="1">
      <c r="B157" s="74"/>
    </row>
    <row r="158" ht="15.75" customHeight="1">
      <c r="B158" s="74"/>
    </row>
    <row r="159" ht="15.75" customHeight="1">
      <c r="B159" s="74"/>
    </row>
    <row r="160" ht="15.75" customHeight="1">
      <c r="B160" s="74"/>
    </row>
    <row r="161" ht="15.75" customHeight="1">
      <c r="B161" s="74"/>
    </row>
    <row r="162" ht="15.75" customHeight="1">
      <c r="B162" s="74"/>
    </row>
    <row r="163" ht="15.75" customHeight="1">
      <c r="B163" s="74"/>
    </row>
    <row r="164" ht="15.75" customHeight="1">
      <c r="B164" s="74"/>
    </row>
    <row r="165" ht="15.75" customHeight="1">
      <c r="B165" s="74"/>
    </row>
    <row r="166" ht="15.75" customHeight="1">
      <c r="B166" s="74"/>
    </row>
    <row r="167" ht="15.75" customHeight="1">
      <c r="B167" s="74"/>
    </row>
    <row r="168" ht="15.75" customHeight="1">
      <c r="B168" s="74"/>
    </row>
    <row r="169" ht="15.75" customHeight="1">
      <c r="B169" s="74"/>
    </row>
    <row r="170" ht="15.75" customHeight="1">
      <c r="B170" s="74"/>
    </row>
    <row r="171" ht="15.75" customHeight="1">
      <c r="B171" s="74"/>
    </row>
    <row r="172" ht="15.75" customHeight="1">
      <c r="B172" s="74"/>
    </row>
    <row r="173" ht="15.75" customHeight="1">
      <c r="B173" s="74"/>
    </row>
    <row r="174" ht="15.75" customHeight="1">
      <c r="B174" s="74"/>
    </row>
    <row r="175" ht="15.75" customHeight="1">
      <c r="B175" s="74"/>
    </row>
    <row r="176" ht="15.75" customHeight="1">
      <c r="B176" s="74"/>
    </row>
    <row r="177" ht="15.75" customHeight="1">
      <c r="B177" s="74"/>
    </row>
    <row r="178" ht="15.75" customHeight="1">
      <c r="B178" s="74"/>
    </row>
    <row r="179" ht="15.75" customHeight="1">
      <c r="B179" s="74"/>
    </row>
    <row r="180" ht="15.75" customHeight="1">
      <c r="B180" s="74"/>
    </row>
    <row r="181" ht="15.75" customHeight="1">
      <c r="B181" s="74"/>
    </row>
    <row r="182" ht="15.75" customHeight="1">
      <c r="B182" s="74"/>
    </row>
    <row r="183" ht="15.75" customHeight="1">
      <c r="B183" s="74"/>
    </row>
    <row r="184" ht="15.75" customHeight="1">
      <c r="B184" s="74"/>
    </row>
    <row r="185" ht="15.75" customHeight="1">
      <c r="B185" s="74"/>
    </row>
    <row r="186" ht="15.75" customHeight="1">
      <c r="B186" s="74"/>
    </row>
    <row r="187" ht="15.75" customHeight="1">
      <c r="B187" s="74"/>
    </row>
    <row r="188" ht="15.75" customHeight="1">
      <c r="B188" s="74"/>
    </row>
    <row r="189" ht="15.75" customHeight="1">
      <c r="B189" s="74"/>
    </row>
    <row r="190" ht="15.75" customHeight="1">
      <c r="B190" s="74"/>
    </row>
    <row r="191" ht="15.75" customHeight="1">
      <c r="B191" s="74"/>
    </row>
    <row r="192" ht="15.75" customHeight="1">
      <c r="B192" s="74"/>
    </row>
    <row r="193" ht="15.75" customHeight="1">
      <c r="B193" s="74"/>
    </row>
    <row r="194" ht="15.75" customHeight="1">
      <c r="B194" s="74"/>
    </row>
    <row r="195" ht="15.75" customHeight="1">
      <c r="B195" s="74"/>
    </row>
    <row r="196" ht="15.75" customHeight="1">
      <c r="B196" s="74"/>
    </row>
    <row r="197" ht="15.75" customHeight="1">
      <c r="B197" s="74"/>
    </row>
    <row r="198" ht="15.75" customHeight="1">
      <c r="B198" s="74"/>
    </row>
    <row r="199" ht="15.75" customHeight="1">
      <c r="B199" s="74"/>
    </row>
    <row r="200" ht="15.75" customHeight="1">
      <c r="B200" s="74"/>
    </row>
    <row r="201" ht="15.75" customHeight="1">
      <c r="B201" s="74"/>
    </row>
    <row r="202" ht="15.75" customHeight="1">
      <c r="B202" s="74"/>
    </row>
    <row r="203" ht="15.75" customHeight="1">
      <c r="B203" s="74"/>
    </row>
    <row r="204" ht="15.75" customHeight="1">
      <c r="B204" s="74"/>
    </row>
    <row r="205" ht="15.75" customHeight="1">
      <c r="B205" s="74"/>
    </row>
    <row r="206" ht="15.75" customHeight="1">
      <c r="B206" s="74"/>
    </row>
    <row r="207" ht="15.75" customHeight="1">
      <c r="B207" s="74"/>
    </row>
    <row r="208" ht="15.75" customHeight="1">
      <c r="B208" s="74"/>
    </row>
    <row r="209" ht="15.75" customHeight="1">
      <c r="B209" s="74"/>
    </row>
    <row r="210" ht="15.75" customHeight="1">
      <c r="B210" s="74"/>
    </row>
    <row r="211" ht="15.75" customHeight="1">
      <c r="B211" s="74"/>
    </row>
    <row r="212" ht="15.75" customHeight="1">
      <c r="B212" s="74"/>
    </row>
    <row r="213" ht="15.75" customHeight="1">
      <c r="B213" s="74"/>
    </row>
    <row r="214" ht="15.75" customHeight="1">
      <c r="B214" s="74"/>
    </row>
    <row r="215" ht="15.75" customHeight="1">
      <c r="B215" s="74"/>
    </row>
    <row r="216" ht="15.75" customHeight="1">
      <c r="B216" s="74"/>
    </row>
    <row r="217" ht="15.75" customHeight="1">
      <c r="B217" s="74"/>
    </row>
    <row r="218" ht="15.75" customHeight="1">
      <c r="B218" s="74"/>
    </row>
    <row r="219" ht="15.75" customHeight="1">
      <c r="B219" s="74"/>
    </row>
    <row r="220" ht="15.75" customHeight="1">
      <c r="B220" s="74"/>
    </row>
    <row r="221" ht="15.75" customHeight="1">
      <c r="B221" s="74"/>
    </row>
    <row r="222" ht="15.75" customHeight="1">
      <c r="B222" s="74"/>
    </row>
    <row r="223" ht="15.75" customHeight="1">
      <c r="B223" s="74"/>
    </row>
    <row r="224" ht="15.75" customHeight="1">
      <c r="B224" s="74"/>
    </row>
    <row r="225" ht="15.75" customHeight="1">
      <c r="B225" s="74"/>
    </row>
    <row r="226" ht="15.75" customHeight="1">
      <c r="B226" s="74"/>
    </row>
    <row r="227" ht="15.75" customHeight="1">
      <c r="B227" s="74"/>
    </row>
    <row r="228" ht="15.75" customHeight="1">
      <c r="B228" s="74"/>
    </row>
    <row r="229" ht="15.75" customHeight="1">
      <c r="B229" s="74"/>
    </row>
    <row r="230" ht="15.75" customHeight="1">
      <c r="B230" s="74"/>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2"/>
  <legacyDrawing r:id="rId3"/>
</worksheet>
</file>